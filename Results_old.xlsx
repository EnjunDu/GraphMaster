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<sst xmlns="http://schemas.openxmlformats.org/spreadsheetml/2006/main" count="344" uniqueCount="125">
  <si>
    <t>语义感知比较</t>
  </si>
  <si>
    <t>Type</t>
  </si>
  <si>
    <t>Dataset</t>
  </si>
  <si>
    <t>Cora_GCN</t>
  </si>
  <si>
    <t>Cora_sage</t>
  </si>
  <si>
    <t>Cora_GAT</t>
  </si>
  <si>
    <t>Cora_JKNET</t>
  </si>
  <si>
    <t>Baseline</t>
  </si>
  <si>
    <t>Implement Details</t>
  </si>
  <si>
    <t>Acc</t>
  </si>
  <si>
    <t>Prec</t>
  </si>
  <si>
    <t>Rec</t>
  </si>
  <si>
    <t>F1</t>
  </si>
  <si>
    <t>cite</t>
  </si>
  <si>
    <t>original</t>
  </si>
  <si>
    <t>Origin_bert</t>
  </si>
  <si>
    <t>Origin</t>
  </si>
  <si>
    <t>88.11±0.72</t>
  </si>
  <si>
    <t>87.73±0.69</t>
  </si>
  <si>
    <t>87.60±0.83</t>
  </si>
  <si>
    <t>86.43±0.78</t>
  </si>
  <si>
    <t>87.64±0.57</t>
  </si>
  <si>
    <t>zhao2021data</t>
  </si>
  <si>
    <t>GNN-based</t>
  </si>
  <si>
    <t>GAugO</t>
  </si>
  <si>
    <t>zhao2021graphsmote</t>
  </si>
  <si>
    <t>GraphSmote</t>
  </si>
  <si>
    <t>han2022g</t>
  </si>
  <si>
    <t>G-Mixup</t>
  </si>
  <si>
    <t>lu2025graphadasyn</t>
  </si>
  <si>
    <t>GraphAdasyn</t>
  </si>
  <si>
    <t>IntraMix</t>
  </si>
  <si>
    <t>wang2025fgsmote</t>
  </si>
  <si>
    <t>FG-SMOTE</t>
  </si>
  <si>
    <t>lu2025agmixup</t>
  </si>
  <si>
    <t>AGMixup</t>
  </si>
  <si>
    <t>guo2025graphedit</t>
  </si>
  <si>
    <t>LLM-based</t>
  </si>
  <si>
    <t>GraphEdit</t>
  </si>
  <si>
    <t>90.90±1.16</t>
  </si>
  <si>
    <t>91.64±0.69</t>
  </si>
  <si>
    <t>zhang2025can</t>
  </si>
  <si>
    <t>LLM4RGNN</t>
  </si>
  <si>
    <t>84.13±0.33</t>
  </si>
  <si>
    <t>83.91±0.53</t>
  </si>
  <si>
    <t>83.76±0.69</t>
  </si>
  <si>
    <t>83.84±0.44</t>
  </si>
  <si>
    <t>85.75±0.52</t>
  </si>
  <si>
    <t>84.23±0.46</t>
  </si>
  <si>
    <t>85.89±0.67</t>
  </si>
  <si>
    <t>85.34±0.58</t>
  </si>
  <si>
    <t>84.61±0.39</t>
  </si>
  <si>
    <t>85.05±0.56</t>
  </si>
  <si>
    <t>84.21±0.59</t>
  </si>
  <si>
    <t>87.51±0.56</t>
  </si>
  <si>
    <t>83.13±0.82</t>
  </si>
  <si>
    <t>84.07±0.67</t>
  </si>
  <si>
    <t>82.98±0.82</t>
  </si>
  <si>
    <t>83.27±0.33</t>
  </si>
  <si>
    <t>ji2025gag</t>
  </si>
  <si>
    <t>GAG</t>
  </si>
  <si>
    <t>90.98±0.79</t>
  </si>
  <si>
    <t>89.75±0.82</t>
  </si>
  <si>
    <t>89.61±1.02</t>
  </si>
  <si>
    <t>89.34±1.23</t>
  </si>
  <si>
    <t>90.61±0.87</t>
  </si>
  <si>
    <t>89.76±0.69</t>
  </si>
  <si>
    <t>91.02±0.85</t>
  </si>
  <si>
    <t>90.53±0.58</t>
  </si>
  <si>
    <t>88.64±0.69</t>
  </si>
  <si>
    <t>89.69±0.98</t>
  </si>
  <si>
    <t>88.64±0.73</t>
  </si>
  <si>
    <t>89.23±0.54</t>
  </si>
  <si>
    <t>88.79±0.69</t>
  </si>
  <si>
    <t>89.54±0.43</t>
  </si>
  <si>
    <t>89.07±0.56</t>
  </si>
  <si>
    <t>89.69±0.38</t>
  </si>
  <si>
    <t>Mixed-LLM</t>
  </si>
  <si>
    <t>随便丢(选择)几个少数Label数据给LLM，让他通过mixup增强产生新节点</t>
  </si>
  <si>
    <t>Synthesis-LLM</t>
  </si>
  <si>
    <t>选择部分数据给LLM，让他进行数据增强(justprompt)</t>
  </si>
  <si>
    <t>GraphMaster w.o. Perception agent</t>
  </si>
  <si>
    <t>GraphMaster(ours)</t>
  </si>
  <si>
    <t>GraphMaster w.o. Evaluation agent</t>
  </si>
  <si>
    <t>Citeseer_GCN</t>
  </si>
  <si>
    <t>Citeseer_sage</t>
  </si>
  <si>
    <t>Citeseer_GAT</t>
  </si>
  <si>
    <t>Citeseer_JKNET</t>
  </si>
  <si>
    <t>81.85±1.42</t>
  </si>
  <si>
    <t>74.2±0.56</t>
  </si>
  <si>
    <t>Arxiv2023_GCN</t>
  </si>
  <si>
    <t>Arxiv2023_sage</t>
  </si>
  <si>
    <t>Arxiv2023_GAT</t>
  </si>
  <si>
    <t>Arxiv2023_JKNET</t>
  </si>
  <si>
    <r>
      <rPr>
        <sz val="11"/>
        <color theme="1"/>
        <rFont val="宋体"/>
        <charset val="134"/>
      </rPr>
      <t>拓扑（</t>
    </r>
    <r>
      <rPr>
        <sz val="11"/>
        <color theme="1"/>
        <rFont val="Times New Roman"/>
        <charset val="134"/>
      </rPr>
      <t>few-shot)</t>
    </r>
    <r>
      <rPr>
        <sz val="11"/>
        <color theme="1"/>
        <rFont val="宋体"/>
        <charset val="134"/>
      </rPr>
      <t>增强比较，其中</t>
    </r>
    <r>
      <rPr>
        <sz val="11"/>
        <color theme="1"/>
        <rFont val="Times New Roman"/>
        <charset val="134"/>
      </rPr>
      <t>cora2-5</t>
    </r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>cora</t>
    </r>
    <r>
      <rPr>
        <sz val="11"/>
        <color theme="1"/>
        <rFont val="宋体"/>
        <charset val="134"/>
      </rPr>
      <t>里</t>
    </r>
    <r>
      <rPr>
        <sz val="11"/>
        <color theme="1"/>
        <rFont val="Times New Roman"/>
        <charset val="134"/>
      </rPr>
      <t>Label=2&amp;Mask="train"</t>
    </r>
    <r>
      <rPr>
        <sz val="11"/>
        <color theme="1"/>
        <rFont val="宋体"/>
        <charset val="134"/>
      </rPr>
      <t>的节点只有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个，cora23-5代表cora里Label=2、3&amp;Mask="train"的节点均只有5个，此处统一使用最常用的GCN</t>
    </r>
  </si>
  <si>
    <t>Cora2-5</t>
  </si>
  <si>
    <t>Cora2-10</t>
  </si>
  <si>
    <t>Cora23-5</t>
  </si>
  <si>
    <t>Cora23-10</t>
  </si>
  <si>
    <t>Citeseer2-5</t>
  </si>
  <si>
    <t>Citeseer2-10</t>
  </si>
  <si>
    <t>Citeseer23-5</t>
  </si>
  <si>
    <t>Citeseer23-10</t>
  </si>
  <si>
    <t>Arxiv2023 16-5</t>
  </si>
  <si>
    <t>Arxiv2023 16-10</t>
  </si>
  <si>
    <t>Arxiv2023 16&amp;24-5</t>
  </si>
  <si>
    <t>Arxiv2023 16&amp;24-10</t>
  </si>
  <si>
    <t>消融</t>
  </si>
  <si>
    <t>Models</t>
  </si>
  <si>
    <t>QwQ-32B</t>
  </si>
  <si>
    <t>Qwen-32B</t>
  </si>
  <si>
    <t>DeepSeek-R1-32B</t>
  </si>
  <si>
    <t>LLaMA-33B</t>
  </si>
  <si>
    <t>GPT3.5</t>
  </si>
  <si>
    <t>w.o Perception Agent</t>
  </si>
  <si>
    <t>w.o Evaluation Agent</t>
  </si>
  <si>
    <t>N=5</t>
  </si>
  <si>
    <t>N=10</t>
  </si>
  <si>
    <t>N=15</t>
  </si>
  <si>
    <t>N=20</t>
  </si>
  <si>
    <t>N=25</t>
  </si>
  <si>
    <t>N=30</t>
  </si>
  <si>
    <t>N=35</t>
  </si>
  <si>
    <t>N=40</t>
  </si>
  <si>
    <t>注：此处的N指的是让Perception Agent进行采样的节点，用以表示背景知识的数量，最终可以将不同的N化为一个折线图，探究不同背景知识对于生成效果的影响。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</si>
</sst>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184"/>
  <sheetViews>
    <sheetView tabSelected="1" zoomScale="130" zoomScaleNormal="130" topLeftCell="E13" workbookViewId="0">
      <selection activeCell="N42" sqref="N42:N55"/>
    </sheetView>
  </sheetViews>
  <sheetFormatPr defaultColWidth="9" defaultRowHeight="14"/>
  <cols>
    <col min="1" max="4" width="9" style="1"/>
    <col min="5" max="5" width="20" style="1" customWidth="1"/>
    <col min="6" max="6" width="37.6363636363636" style="1" customWidth="1"/>
    <col min="7" max="22" width="10.8181818181818" style="1" customWidth="1"/>
    <col min="23" max="26" width="9.18181818181818" style="1"/>
    <col min="27" max="29" width="9" style="1"/>
    <col min="30" max="30" width="14" style="1" customWidth="1"/>
    <col min="31" max="31" width="10.6363636363636" style="1" customWidth="1"/>
    <col min="32" max="32" width="35.3636363636364" style="1" customWidth="1"/>
    <col min="33" max="33" width="73.6363636363636" style="1" customWidth="1"/>
    <col min="34" max="16384" width="9" style="1"/>
  </cols>
  <sheetData>
    <row r="5" spans="6:16">
      <c r="F5" s="2" t="s">
        <v>0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2:33">
      <c r="B6" s="3"/>
      <c r="C6" s="3"/>
      <c r="D6" s="3"/>
      <c r="E6" s="4" t="s">
        <v>1</v>
      </c>
      <c r="F6" s="5" t="s">
        <v>2</v>
      </c>
      <c r="G6" s="5" t="s">
        <v>3</v>
      </c>
      <c r="H6" s="5"/>
      <c r="I6" s="5"/>
      <c r="J6" s="5"/>
      <c r="K6" s="5" t="s">
        <v>4</v>
      </c>
      <c r="L6" s="5"/>
      <c r="M6" s="5"/>
      <c r="N6" s="5"/>
      <c r="O6" s="5" t="s">
        <v>5</v>
      </c>
      <c r="P6" s="5"/>
      <c r="Q6" s="5"/>
      <c r="R6" s="5"/>
      <c r="S6" s="5" t="s">
        <v>6</v>
      </c>
      <c r="T6" s="5"/>
      <c r="U6" s="5"/>
      <c r="V6" s="5"/>
      <c r="W6" s="3"/>
      <c r="X6" s="3"/>
      <c r="Y6" s="3"/>
      <c r="Z6" s="3"/>
      <c r="AF6" s="17" t="s">
        <v>7</v>
      </c>
      <c r="AG6" s="17" t="s">
        <v>8</v>
      </c>
    </row>
    <row r="7" spans="2:33">
      <c r="B7" s="3"/>
      <c r="C7" s="3"/>
      <c r="D7" s="3"/>
      <c r="E7" s="6"/>
      <c r="F7" s="5"/>
      <c r="G7" s="5" t="s">
        <v>9</v>
      </c>
      <c r="H7" s="5" t="s">
        <v>10</v>
      </c>
      <c r="I7" s="5" t="s">
        <v>11</v>
      </c>
      <c r="J7" s="5" t="s">
        <v>12</v>
      </c>
      <c r="K7" s="5" t="s">
        <v>9</v>
      </c>
      <c r="L7" s="5" t="s">
        <v>10</v>
      </c>
      <c r="M7" s="5" t="s">
        <v>11</v>
      </c>
      <c r="N7" s="5" t="s">
        <v>12</v>
      </c>
      <c r="O7" s="5" t="s">
        <v>9</v>
      </c>
      <c r="P7" s="5" t="s">
        <v>10</v>
      </c>
      <c r="Q7" s="5" t="s">
        <v>11</v>
      </c>
      <c r="R7" s="5" t="s">
        <v>12</v>
      </c>
      <c r="S7" s="5" t="s">
        <v>9</v>
      </c>
      <c r="T7" s="5" t="s">
        <v>10</v>
      </c>
      <c r="U7" s="5" t="s">
        <v>11</v>
      </c>
      <c r="V7" s="5" t="s">
        <v>12</v>
      </c>
      <c r="W7" s="3"/>
      <c r="X7" s="3"/>
      <c r="Y7" s="3"/>
      <c r="Z7" s="3"/>
      <c r="AD7" s="18" t="s">
        <v>13</v>
      </c>
      <c r="AE7" s="18" t="s">
        <v>14</v>
      </c>
      <c r="AF7" s="19" t="s">
        <v>15</v>
      </c>
      <c r="AG7" s="18"/>
    </row>
    <row r="8" spans="2:33">
      <c r="B8" s="3"/>
      <c r="C8" s="3"/>
      <c r="D8" s="3"/>
      <c r="E8" s="7" t="s">
        <v>14</v>
      </c>
      <c r="F8" s="7" t="s">
        <v>16</v>
      </c>
      <c r="G8" s="8" t="s">
        <v>17</v>
      </c>
      <c r="H8" s="8" t="s">
        <v>18</v>
      </c>
      <c r="I8" s="8" t="s">
        <v>19</v>
      </c>
      <c r="J8" s="8" t="s">
        <v>20</v>
      </c>
      <c r="K8" s="15" t="s">
        <v>21</v>
      </c>
      <c r="L8" s="8">
        <v>0.8653</v>
      </c>
      <c r="M8" s="8">
        <v>0.876</v>
      </c>
      <c r="N8" s="15">
        <v>0.869</v>
      </c>
      <c r="O8" s="8">
        <v>0.7557</v>
      </c>
      <c r="P8" s="8">
        <v>0.8103</v>
      </c>
      <c r="Q8" s="8">
        <v>0.5871</v>
      </c>
      <c r="R8" s="8">
        <v>0.7832</v>
      </c>
      <c r="S8" s="8">
        <v>0.6624</v>
      </c>
      <c r="T8" s="8">
        <v>0.6101</v>
      </c>
      <c r="U8" s="8">
        <v>0.6323</v>
      </c>
      <c r="V8" s="8">
        <f>U8*T8*2/(U8+T8)</f>
        <v>0.621001658081133</v>
      </c>
      <c r="W8" s="3"/>
      <c r="X8" s="3"/>
      <c r="Y8" s="3"/>
      <c r="Z8" s="3"/>
      <c r="AD8" s="18" t="s">
        <v>22</v>
      </c>
      <c r="AE8" s="18" t="s">
        <v>23</v>
      </c>
      <c r="AF8" s="20" t="s">
        <v>24</v>
      </c>
      <c r="AG8" s="18"/>
    </row>
    <row r="9" spans="2:33">
      <c r="B9" s="3"/>
      <c r="C9" s="3"/>
      <c r="D9" s="3"/>
      <c r="E9" s="7" t="s">
        <v>23</v>
      </c>
      <c r="F9" s="7" t="s">
        <v>24</v>
      </c>
      <c r="G9" s="8">
        <v>0.8886</v>
      </c>
      <c r="H9" s="8">
        <v>0.8835</v>
      </c>
      <c r="I9" s="8">
        <v>0.8771</v>
      </c>
      <c r="J9" s="8">
        <f>H9*I9*2/(H9+I9)</f>
        <v>0.880288367601954</v>
      </c>
      <c r="K9" s="15">
        <v>0.8791</v>
      </c>
      <c r="L9" s="8">
        <v>0.8742</v>
      </c>
      <c r="M9" s="8">
        <v>0.8844</v>
      </c>
      <c r="N9" s="15">
        <f t="shared" ref="N9:N21" si="0">L9*M9*2/(L9+M9)</f>
        <v>0.879270419651996</v>
      </c>
      <c r="O9" s="8">
        <v>0.7618</v>
      </c>
      <c r="P9" s="8">
        <v>0.8164</v>
      </c>
      <c r="Q9" s="8">
        <v>0.7586</v>
      </c>
      <c r="R9" s="8">
        <f t="shared" ref="R9:R21" si="1">Q9*P9*2/(Q9+P9)</f>
        <v>0.786439415873016</v>
      </c>
      <c r="S9" s="8">
        <v>0.7078</v>
      </c>
      <c r="T9" s="8">
        <v>0.7152</v>
      </c>
      <c r="U9" s="8">
        <v>0.7036</v>
      </c>
      <c r="V9" s="8">
        <f t="shared" ref="V9:V21" si="2">U9*T9*2/(U9+T9)</f>
        <v>0.70935257964477</v>
      </c>
      <c r="W9" s="3"/>
      <c r="X9" s="3"/>
      <c r="Y9" s="3"/>
      <c r="Z9" s="3"/>
      <c r="AD9" s="18" t="s">
        <v>25</v>
      </c>
      <c r="AE9" s="18"/>
      <c r="AF9" s="20" t="s">
        <v>26</v>
      </c>
      <c r="AG9" s="18"/>
    </row>
    <row r="10" spans="2:33">
      <c r="B10" s="3"/>
      <c r="C10" s="3"/>
      <c r="D10" s="3"/>
      <c r="E10" s="7"/>
      <c r="F10" s="7" t="s">
        <v>26</v>
      </c>
      <c r="G10" s="8">
        <v>0.887</v>
      </c>
      <c r="H10" s="8">
        <v>0.8935</v>
      </c>
      <c r="I10" s="8">
        <v>0.887</v>
      </c>
      <c r="J10" s="8">
        <v>0.8842</v>
      </c>
      <c r="K10" s="15">
        <v>0.8788</v>
      </c>
      <c r="L10" s="8">
        <v>0.8742</v>
      </c>
      <c r="M10" s="8">
        <v>0.8769</v>
      </c>
      <c r="N10" s="15">
        <f t="shared" si="0"/>
        <v>0.875547918451259</v>
      </c>
      <c r="O10" s="8">
        <v>0.7896</v>
      </c>
      <c r="P10" s="8">
        <v>0.7958</v>
      </c>
      <c r="Q10" s="8">
        <v>0.7896</v>
      </c>
      <c r="R10" s="8">
        <f t="shared" si="1"/>
        <v>0.792687876876498</v>
      </c>
      <c r="S10" s="8">
        <v>0.7403</v>
      </c>
      <c r="T10" s="8">
        <v>0.7574</v>
      </c>
      <c r="U10" s="8">
        <v>0.7403</v>
      </c>
      <c r="V10" s="8">
        <f t="shared" si="2"/>
        <v>0.748752380316485</v>
      </c>
      <c r="W10" s="3"/>
      <c r="X10" s="3"/>
      <c r="Y10" s="3"/>
      <c r="Z10" s="3"/>
      <c r="AD10" s="18" t="s">
        <v>27</v>
      </c>
      <c r="AE10" s="18"/>
      <c r="AF10" s="18" t="s">
        <v>28</v>
      </c>
      <c r="AG10" s="18"/>
    </row>
    <row r="11" spans="2:33">
      <c r="B11" s="3"/>
      <c r="C11" s="3"/>
      <c r="D11" s="3"/>
      <c r="E11" s="7"/>
      <c r="F11" s="7" t="s">
        <v>28</v>
      </c>
      <c r="G11" s="8">
        <v>0.8714</v>
      </c>
      <c r="H11" s="8">
        <v>0.8836</v>
      </c>
      <c r="I11" s="8">
        <v>0.8714</v>
      </c>
      <c r="J11" s="8">
        <v>0.8695</v>
      </c>
      <c r="K11" s="15">
        <v>0.8769</v>
      </c>
      <c r="L11" s="8">
        <v>0.8675</v>
      </c>
      <c r="M11" s="8">
        <v>0.8884</v>
      </c>
      <c r="N11" s="15">
        <f t="shared" si="0"/>
        <v>0.877825616492967</v>
      </c>
      <c r="O11" s="8">
        <v>0.7974</v>
      </c>
      <c r="P11" s="8">
        <v>0.8028</v>
      </c>
      <c r="Q11" s="8">
        <v>0.7974</v>
      </c>
      <c r="R11" s="8">
        <f t="shared" si="1"/>
        <v>0.80009088863892</v>
      </c>
      <c r="S11" s="8">
        <v>0.7221</v>
      </c>
      <c r="T11" s="8">
        <v>0.735</v>
      </c>
      <c r="U11" s="8">
        <v>0.7221</v>
      </c>
      <c r="V11" s="8">
        <f t="shared" si="2"/>
        <v>0.728492896849907</v>
      </c>
      <c r="W11" s="3"/>
      <c r="X11" s="3"/>
      <c r="Y11" s="3"/>
      <c r="Z11" s="3"/>
      <c r="AD11" s="18" t="s">
        <v>29</v>
      </c>
      <c r="AE11" s="18"/>
      <c r="AF11" s="18" t="s">
        <v>30</v>
      </c>
      <c r="AG11" s="18"/>
    </row>
    <row r="12" spans="2:33">
      <c r="B12" s="3"/>
      <c r="C12" s="3"/>
      <c r="D12" s="3"/>
      <c r="E12" s="7"/>
      <c r="F12" s="7" t="s">
        <v>31</v>
      </c>
      <c r="G12" s="8"/>
      <c r="H12" s="8"/>
      <c r="I12" s="8"/>
      <c r="J12" s="8"/>
      <c r="K12" s="15"/>
      <c r="L12" s="8"/>
      <c r="M12" s="8"/>
      <c r="N12" s="15"/>
      <c r="O12" s="8"/>
      <c r="P12" s="8"/>
      <c r="Q12" s="8"/>
      <c r="R12" s="8"/>
      <c r="S12" s="8"/>
      <c r="T12" s="8"/>
      <c r="U12" s="8"/>
      <c r="V12" s="8"/>
      <c r="W12" s="3"/>
      <c r="X12" s="3"/>
      <c r="Y12" s="3"/>
      <c r="Z12" s="3"/>
      <c r="AD12" s="18"/>
      <c r="AE12" s="18"/>
      <c r="AF12" s="18" t="s">
        <v>31</v>
      </c>
      <c r="AG12" s="18"/>
    </row>
    <row r="13" spans="2:33">
      <c r="B13" s="3"/>
      <c r="C13" s="3"/>
      <c r="D13" s="3"/>
      <c r="E13" s="7"/>
      <c r="F13" s="7" t="s">
        <v>30</v>
      </c>
      <c r="G13" s="8">
        <v>0.8923</v>
      </c>
      <c r="H13" s="8">
        <v>0.8902</v>
      </c>
      <c r="I13" s="8">
        <v>0.8841</v>
      </c>
      <c r="J13" s="8">
        <f>H13*I13*2/(H13+I13)</f>
        <v>0.887139514174604</v>
      </c>
      <c r="K13" s="15">
        <v>0.9015</v>
      </c>
      <c r="L13" s="8">
        <v>0.9058</v>
      </c>
      <c r="M13" s="8">
        <v>0.8962</v>
      </c>
      <c r="N13" s="15">
        <f t="shared" si="0"/>
        <v>0.900974428412875</v>
      </c>
      <c r="O13" s="8">
        <v>0.8857</v>
      </c>
      <c r="P13" s="8">
        <v>0.8914</v>
      </c>
      <c r="Q13" s="8">
        <v>0.8732</v>
      </c>
      <c r="R13" s="8">
        <f t="shared" si="1"/>
        <v>0.882206143035249</v>
      </c>
      <c r="S13" s="8">
        <v>0.8765</v>
      </c>
      <c r="T13" s="8">
        <v>0.8841</v>
      </c>
      <c r="U13" s="8">
        <v>0.8689</v>
      </c>
      <c r="V13" s="8">
        <f t="shared" si="2"/>
        <v>0.876434101540217</v>
      </c>
      <c r="W13" s="3"/>
      <c r="X13" s="3"/>
      <c r="Y13" s="3"/>
      <c r="Z13" s="3"/>
      <c r="AD13" s="18" t="s">
        <v>32</v>
      </c>
      <c r="AE13" s="18"/>
      <c r="AF13" s="18" t="s">
        <v>33</v>
      </c>
      <c r="AG13" s="18"/>
    </row>
    <row r="14" spans="2:33">
      <c r="B14" s="3"/>
      <c r="C14" s="3"/>
      <c r="D14" s="3"/>
      <c r="E14" s="7"/>
      <c r="F14" s="7" t="s">
        <v>33</v>
      </c>
      <c r="G14" s="8"/>
      <c r="H14" s="8"/>
      <c r="I14" s="8"/>
      <c r="J14" s="8"/>
      <c r="K14" s="15"/>
      <c r="L14" s="8"/>
      <c r="M14" s="8"/>
      <c r="N14" s="15"/>
      <c r="O14" s="8"/>
      <c r="P14" s="8"/>
      <c r="Q14" s="8"/>
      <c r="R14" s="8"/>
      <c r="S14" s="8"/>
      <c r="T14" s="8"/>
      <c r="U14" s="8"/>
      <c r="V14" s="8"/>
      <c r="W14" s="3"/>
      <c r="X14" s="3"/>
      <c r="Y14" s="3"/>
      <c r="Z14" s="3"/>
      <c r="AD14" s="18" t="s">
        <v>34</v>
      </c>
      <c r="AE14" s="18"/>
      <c r="AF14" s="18" t="s">
        <v>35</v>
      </c>
      <c r="AG14" s="18"/>
    </row>
    <row r="15" spans="2:33">
      <c r="B15" s="3"/>
      <c r="C15" s="3"/>
      <c r="D15" s="3"/>
      <c r="E15" s="7"/>
      <c r="F15" s="7" t="s">
        <v>35</v>
      </c>
      <c r="G15" s="8"/>
      <c r="H15" s="8"/>
      <c r="I15" s="8"/>
      <c r="J15" s="8"/>
      <c r="K15" s="15"/>
      <c r="L15" s="8"/>
      <c r="M15" s="8"/>
      <c r="N15" s="15"/>
      <c r="O15" s="8"/>
      <c r="P15" s="8"/>
      <c r="Q15" s="8"/>
      <c r="R15" s="8"/>
      <c r="S15" s="8"/>
      <c r="T15" s="8"/>
      <c r="U15" s="8"/>
      <c r="V15" s="8"/>
      <c r="W15" s="3"/>
      <c r="X15" s="3"/>
      <c r="Y15" s="3"/>
      <c r="Z15" s="3"/>
      <c r="AD15" s="18" t="s">
        <v>36</v>
      </c>
      <c r="AE15" s="18" t="s">
        <v>37</v>
      </c>
      <c r="AF15" s="18" t="s">
        <v>38</v>
      </c>
      <c r="AG15" s="18"/>
    </row>
    <row r="16" spans="2:33">
      <c r="B16" s="3"/>
      <c r="C16" s="3"/>
      <c r="D16" s="3"/>
      <c r="E16" s="9" t="s">
        <v>37</v>
      </c>
      <c r="F16" s="7" t="s">
        <v>38</v>
      </c>
      <c r="G16" s="8" t="s">
        <v>39</v>
      </c>
      <c r="H16" s="8">
        <v>89.71</v>
      </c>
      <c r="I16" s="8">
        <v>89.62</v>
      </c>
      <c r="J16" s="8">
        <f>H16*I16*2/(H16+I16)</f>
        <v>89.6649774159371</v>
      </c>
      <c r="K16" s="15" t="s">
        <v>40</v>
      </c>
      <c r="L16" s="8">
        <v>89.98</v>
      </c>
      <c r="M16" s="8">
        <v>91.98</v>
      </c>
      <c r="N16" s="15">
        <f t="shared" si="0"/>
        <v>90.9690085733128</v>
      </c>
      <c r="O16" s="8">
        <v>90.9</v>
      </c>
      <c r="P16" s="8">
        <v>89.71</v>
      </c>
      <c r="Q16" s="8">
        <v>89.62</v>
      </c>
      <c r="R16" s="8">
        <f t="shared" si="1"/>
        <v>89.6649774159371</v>
      </c>
      <c r="S16" s="8">
        <v>89.26</v>
      </c>
      <c r="T16" s="8">
        <v>90.75</v>
      </c>
      <c r="U16" s="8">
        <v>89.04</v>
      </c>
      <c r="V16" s="8">
        <f t="shared" si="2"/>
        <v>89.8868680126815</v>
      </c>
      <c r="W16" s="3"/>
      <c r="X16" s="3"/>
      <c r="Y16" s="3"/>
      <c r="Z16" s="3"/>
      <c r="AD16" s="18" t="s">
        <v>41</v>
      </c>
      <c r="AE16" s="18"/>
      <c r="AF16" s="18" t="s">
        <v>42</v>
      </c>
      <c r="AG16" s="18"/>
    </row>
    <row r="17" spans="2:33">
      <c r="B17" s="3"/>
      <c r="C17" s="3"/>
      <c r="D17" s="3"/>
      <c r="E17" s="10"/>
      <c r="F17" s="7" t="s">
        <v>42</v>
      </c>
      <c r="G17" s="8" t="s">
        <v>43</v>
      </c>
      <c r="H17" s="8" t="s">
        <v>44</v>
      </c>
      <c r="I17" s="8" t="s">
        <v>45</v>
      </c>
      <c r="J17" s="8" t="s">
        <v>46</v>
      </c>
      <c r="K17" s="15" t="s">
        <v>47</v>
      </c>
      <c r="L17" s="8" t="s">
        <v>48</v>
      </c>
      <c r="M17" s="8" t="s">
        <v>49</v>
      </c>
      <c r="N17" s="15" t="s">
        <v>50</v>
      </c>
      <c r="O17" s="8" t="s">
        <v>51</v>
      </c>
      <c r="P17" s="8" t="s">
        <v>52</v>
      </c>
      <c r="Q17" s="8" t="s">
        <v>53</v>
      </c>
      <c r="R17" s="8" t="s">
        <v>54</v>
      </c>
      <c r="S17" s="8" t="s">
        <v>55</v>
      </c>
      <c r="T17" s="8" t="s">
        <v>56</v>
      </c>
      <c r="U17" s="8" t="s">
        <v>57</v>
      </c>
      <c r="V17" s="8" t="s">
        <v>58</v>
      </c>
      <c r="W17" s="3"/>
      <c r="X17" s="3"/>
      <c r="Y17" s="3"/>
      <c r="Z17" s="3"/>
      <c r="AD17" s="18" t="s">
        <v>59</v>
      </c>
      <c r="AE17" s="18"/>
      <c r="AF17" s="18" t="s">
        <v>60</v>
      </c>
      <c r="AG17" s="18"/>
    </row>
    <row r="18" spans="2:33">
      <c r="B18" s="3"/>
      <c r="C18" s="3"/>
      <c r="D18" s="3"/>
      <c r="E18" s="10"/>
      <c r="F18" s="7" t="s">
        <v>60</v>
      </c>
      <c r="G18" s="8" t="s">
        <v>61</v>
      </c>
      <c r="H18" s="8" t="s">
        <v>62</v>
      </c>
      <c r="I18" s="8" t="s">
        <v>63</v>
      </c>
      <c r="J18" s="8" t="s">
        <v>64</v>
      </c>
      <c r="K18" s="15" t="s">
        <v>65</v>
      </c>
      <c r="L18" s="8" t="s">
        <v>66</v>
      </c>
      <c r="M18" s="8" t="s">
        <v>67</v>
      </c>
      <c r="N18" s="15" t="s">
        <v>68</v>
      </c>
      <c r="O18" s="8" t="s">
        <v>69</v>
      </c>
      <c r="P18" s="8" t="s">
        <v>70</v>
      </c>
      <c r="Q18" s="8" t="s">
        <v>71</v>
      </c>
      <c r="R18" s="8" t="s">
        <v>72</v>
      </c>
      <c r="S18" s="8" t="s">
        <v>73</v>
      </c>
      <c r="T18" s="8" t="s">
        <v>74</v>
      </c>
      <c r="U18" s="8" t="s">
        <v>75</v>
      </c>
      <c r="V18" s="8" t="s">
        <v>76</v>
      </c>
      <c r="W18" s="3"/>
      <c r="X18" s="3"/>
      <c r="Y18" s="3"/>
      <c r="Z18" s="3"/>
      <c r="AD18" s="18"/>
      <c r="AE18" s="18"/>
      <c r="AF18" s="18" t="s">
        <v>77</v>
      </c>
      <c r="AG18" s="18" t="s">
        <v>78</v>
      </c>
    </row>
    <row r="19" spans="2:33">
      <c r="B19" s="3"/>
      <c r="C19" s="3"/>
      <c r="D19" s="3"/>
      <c r="E19" s="10"/>
      <c r="F19" s="7" t="s">
        <v>77</v>
      </c>
      <c r="G19" s="8"/>
      <c r="H19" s="8"/>
      <c r="I19" s="8"/>
      <c r="J19" s="8"/>
      <c r="K19" s="15"/>
      <c r="L19" s="8"/>
      <c r="M19" s="8"/>
      <c r="N19" s="15"/>
      <c r="O19" s="8"/>
      <c r="P19" s="8"/>
      <c r="Q19" s="8"/>
      <c r="R19" s="8"/>
      <c r="S19" s="8"/>
      <c r="T19" s="8"/>
      <c r="U19" s="8"/>
      <c r="V19" s="8"/>
      <c r="W19" s="3"/>
      <c r="X19" s="3"/>
      <c r="Y19" s="3"/>
      <c r="Z19" s="3"/>
      <c r="AD19" s="18"/>
      <c r="AE19" s="18"/>
      <c r="AF19" s="18" t="s">
        <v>79</v>
      </c>
      <c r="AG19" s="18" t="s">
        <v>80</v>
      </c>
    </row>
    <row r="20" spans="2:33">
      <c r="B20" s="3"/>
      <c r="C20" s="3"/>
      <c r="D20" s="3"/>
      <c r="E20" s="10"/>
      <c r="F20" s="7" t="s">
        <v>79</v>
      </c>
      <c r="G20" s="8"/>
      <c r="H20" s="8"/>
      <c r="I20" s="8"/>
      <c r="J20" s="8"/>
      <c r="K20" s="15"/>
      <c r="L20" s="8"/>
      <c r="M20" s="8"/>
      <c r="N20" s="15"/>
      <c r="O20" s="8"/>
      <c r="P20" s="8"/>
      <c r="Q20" s="8"/>
      <c r="R20" s="8"/>
      <c r="S20" s="8"/>
      <c r="T20" s="8"/>
      <c r="U20" s="8"/>
      <c r="V20" s="8"/>
      <c r="W20" s="3"/>
      <c r="X20" s="3"/>
      <c r="Y20" s="3"/>
      <c r="Z20" s="3"/>
      <c r="AD20" s="18"/>
      <c r="AE20" s="18"/>
      <c r="AF20" s="18" t="s">
        <v>81</v>
      </c>
      <c r="AG20" s="18"/>
    </row>
    <row r="21" spans="2:33">
      <c r="B21" s="3"/>
      <c r="C21" s="3"/>
      <c r="D21" s="3"/>
      <c r="E21" s="11"/>
      <c r="F21" s="7" t="s">
        <v>82</v>
      </c>
      <c r="G21" s="12">
        <v>0.9059</v>
      </c>
      <c r="H21" s="12">
        <v>0.8976</v>
      </c>
      <c r="I21" s="12">
        <v>0.911</v>
      </c>
      <c r="J21" s="8">
        <f>H21*I21*2/(H21+I21)</f>
        <v>0.904250359394006</v>
      </c>
      <c r="K21" s="16">
        <v>0.9112</v>
      </c>
      <c r="L21" s="12">
        <v>0.9053</v>
      </c>
      <c r="M21" s="12">
        <v>0.9284</v>
      </c>
      <c r="N21" s="16">
        <f t="shared" si="0"/>
        <v>0.91670449910018</v>
      </c>
      <c r="O21" s="12">
        <v>0.9048</v>
      </c>
      <c r="P21" s="12">
        <v>0.9154</v>
      </c>
      <c r="Q21" s="12">
        <v>0.8956</v>
      </c>
      <c r="R21" s="8">
        <f t="shared" si="1"/>
        <v>0.905391761457758</v>
      </c>
      <c r="S21" s="12">
        <v>0.9013</v>
      </c>
      <c r="T21" s="12">
        <v>0.8894</v>
      </c>
      <c r="U21" s="12">
        <v>0.8902</v>
      </c>
      <c r="V21" s="8">
        <f t="shared" si="2"/>
        <v>0.889799820184311</v>
      </c>
      <c r="W21" s="3"/>
      <c r="X21" s="3"/>
      <c r="Y21" s="3"/>
      <c r="Z21" s="3"/>
      <c r="AD21" s="18"/>
      <c r="AE21" s="18"/>
      <c r="AF21" s="18" t="s">
        <v>83</v>
      </c>
      <c r="AG21" s="18"/>
    </row>
    <row r="22" spans="2:3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D22" s="18"/>
      <c r="AE22" s="18"/>
      <c r="AF22" s="18" t="s">
        <v>82</v>
      </c>
      <c r="AG22" s="18"/>
    </row>
    <row r="23" spans="2:26">
      <c r="B23" s="3"/>
      <c r="C23" s="3"/>
      <c r="D23" s="3"/>
      <c r="E23" s="4" t="s">
        <v>1</v>
      </c>
      <c r="F23" s="5" t="s">
        <v>2</v>
      </c>
      <c r="G23" s="5" t="s">
        <v>84</v>
      </c>
      <c r="H23" s="5"/>
      <c r="I23" s="5"/>
      <c r="J23" s="5"/>
      <c r="K23" s="5" t="s">
        <v>85</v>
      </c>
      <c r="L23" s="5"/>
      <c r="M23" s="5"/>
      <c r="N23" s="5"/>
      <c r="O23" s="5" t="s">
        <v>86</v>
      </c>
      <c r="P23" s="5"/>
      <c r="Q23" s="5"/>
      <c r="R23" s="5"/>
      <c r="S23" s="5" t="s">
        <v>87</v>
      </c>
      <c r="T23" s="5"/>
      <c r="U23" s="5"/>
      <c r="V23" s="5"/>
      <c r="W23" s="3"/>
      <c r="X23" s="3"/>
      <c r="Y23" s="3"/>
      <c r="Z23" s="3"/>
    </row>
    <row r="24" spans="2:26">
      <c r="B24" s="3"/>
      <c r="C24" s="3"/>
      <c r="D24" s="3"/>
      <c r="E24" s="6"/>
      <c r="F24" s="5"/>
      <c r="G24" s="5" t="s">
        <v>9</v>
      </c>
      <c r="H24" s="5" t="s">
        <v>10</v>
      </c>
      <c r="I24" s="5" t="s">
        <v>11</v>
      </c>
      <c r="J24" s="5" t="s">
        <v>12</v>
      </c>
      <c r="K24" s="5" t="s">
        <v>9</v>
      </c>
      <c r="L24" s="5" t="s">
        <v>10</v>
      </c>
      <c r="M24" s="5" t="s">
        <v>11</v>
      </c>
      <c r="N24" s="5" t="s">
        <v>12</v>
      </c>
      <c r="O24" s="5" t="s">
        <v>9</v>
      </c>
      <c r="P24" s="5" t="s">
        <v>10</v>
      </c>
      <c r="Q24" s="5" t="s">
        <v>11</v>
      </c>
      <c r="R24" s="5" t="s">
        <v>12</v>
      </c>
      <c r="S24" s="5" t="s">
        <v>9</v>
      </c>
      <c r="T24" s="5" t="s">
        <v>10</v>
      </c>
      <c r="U24" s="5" t="s">
        <v>11</v>
      </c>
      <c r="V24" s="5" t="s">
        <v>12</v>
      </c>
      <c r="W24" s="13"/>
      <c r="X24" s="13"/>
      <c r="Y24" s="13"/>
      <c r="Z24" s="13"/>
    </row>
    <row r="25" spans="2:26">
      <c r="B25" s="3"/>
      <c r="C25" s="3"/>
      <c r="D25" s="3"/>
      <c r="E25" s="7" t="s">
        <v>14</v>
      </c>
      <c r="F25" s="7" t="s">
        <v>16</v>
      </c>
      <c r="G25" s="8">
        <v>0.7774</v>
      </c>
      <c r="H25" s="8">
        <v>0.7443</v>
      </c>
      <c r="I25" s="8">
        <v>0.7427</v>
      </c>
      <c r="J25" s="8">
        <v>0.743</v>
      </c>
      <c r="K25" s="15">
        <v>0.7837</v>
      </c>
      <c r="L25" s="8">
        <v>0.7582</v>
      </c>
      <c r="M25" s="8">
        <v>0.7418</v>
      </c>
      <c r="N25" s="15">
        <v>0.7458</v>
      </c>
      <c r="O25" s="8">
        <v>0.7555</v>
      </c>
      <c r="P25" s="8">
        <v>0.6384</v>
      </c>
      <c r="Q25" s="8">
        <v>0.6721</v>
      </c>
      <c r="R25" s="8">
        <v>0.6517</v>
      </c>
      <c r="S25" s="8">
        <v>0.7837</v>
      </c>
      <c r="T25" s="8">
        <v>0.7545</v>
      </c>
      <c r="U25" s="8">
        <v>0.7394</v>
      </c>
      <c r="V25" s="8">
        <v>0.7424</v>
      </c>
      <c r="W25" s="13"/>
      <c r="X25" s="13"/>
      <c r="Y25" s="13"/>
      <c r="Z25" s="13"/>
    </row>
    <row r="26" spans="2:23">
      <c r="B26" s="3"/>
      <c r="C26" s="3"/>
      <c r="D26" s="3"/>
      <c r="E26" s="7" t="s">
        <v>23</v>
      </c>
      <c r="F26" s="7" t="s">
        <v>24</v>
      </c>
      <c r="G26" s="8">
        <v>0.7808</v>
      </c>
      <c r="H26" s="8">
        <v>0.7569</v>
      </c>
      <c r="I26" s="8">
        <v>0.7867</v>
      </c>
      <c r="J26" s="8">
        <f>H26*I26*2/(H26+I26)</f>
        <v>0.771512347758487</v>
      </c>
      <c r="K26" s="15">
        <v>0.791</v>
      </c>
      <c r="L26" s="8">
        <v>0.7642</v>
      </c>
      <c r="M26" s="8">
        <v>0.7551</v>
      </c>
      <c r="N26" s="15">
        <f>L26*M26*2/(L26+M26)</f>
        <v>0.759622747317844</v>
      </c>
      <c r="O26" s="8">
        <v>0.7667</v>
      </c>
      <c r="P26" s="8">
        <v>0.6402</v>
      </c>
      <c r="Q26" s="8">
        <v>0.6825</v>
      </c>
      <c r="R26" s="8">
        <f>Q26*P26*2/(Q26+P26)</f>
        <v>0.660673622136539</v>
      </c>
      <c r="S26" s="8">
        <v>0.7887</v>
      </c>
      <c r="T26" s="8">
        <v>0.7752</v>
      </c>
      <c r="U26" s="8">
        <v>0.7677</v>
      </c>
      <c r="V26" s="8">
        <f>T26*U26*2/(T26+U26)</f>
        <v>0.771431771339685</v>
      </c>
      <c r="W26" s="13"/>
    </row>
    <row r="27" spans="2:26">
      <c r="B27" s="3"/>
      <c r="C27" s="3"/>
      <c r="D27" s="3"/>
      <c r="E27" s="7"/>
      <c r="F27" s="7" t="s">
        <v>26</v>
      </c>
      <c r="G27" s="8">
        <v>0.7912</v>
      </c>
      <c r="H27" s="8">
        <v>0.7605</v>
      </c>
      <c r="I27" s="8">
        <v>0.7512</v>
      </c>
      <c r="J27" s="8">
        <f>H27*I27*2/(H27+I27)</f>
        <v>0.755821393133558</v>
      </c>
      <c r="K27" s="15">
        <v>0.7956</v>
      </c>
      <c r="L27" s="8">
        <v>0.772</v>
      </c>
      <c r="M27" s="8">
        <v>0.7596</v>
      </c>
      <c r="N27" s="15">
        <f>L27*M27*2/(L27+M27)</f>
        <v>0.765749804126404</v>
      </c>
      <c r="O27" s="8">
        <v>0.7698</v>
      </c>
      <c r="P27" s="8">
        <v>0.7152</v>
      </c>
      <c r="Q27" s="8">
        <v>0.7098</v>
      </c>
      <c r="R27" s="8">
        <f>Q27*P27*2/(Q27+P27)</f>
        <v>0.712489768421053</v>
      </c>
      <c r="S27" s="8">
        <v>0.7954</v>
      </c>
      <c r="T27" s="8">
        <v>0.7608</v>
      </c>
      <c r="U27" s="8">
        <v>0.7554</v>
      </c>
      <c r="V27" s="8">
        <f>T27*U27*2/(T27+U27)</f>
        <v>0.758090383854373</v>
      </c>
      <c r="W27" s="3"/>
      <c r="X27" s="3"/>
      <c r="Y27" s="3"/>
      <c r="Z27" s="3"/>
    </row>
    <row r="28" spans="2:26">
      <c r="B28" s="3"/>
      <c r="C28" s="3"/>
      <c r="D28" s="3"/>
      <c r="E28" s="7"/>
      <c r="F28" s="7" t="s">
        <v>28</v>
      </c>
      <c r="G28" s="8">
        <v>0.7824</v>
      </c>
      <c r="H28" s="8">
        <v>0.7665</v>
      </c>
      <c r="I28" s="8">
        <v>0.7693</v>
      </c>
      <c r="J28" s="8">
        <f>H28*I28*2/(H28+I28)</f>
        <v>0.767897447584321</v>
      </c>
      <c r="K28" s="15">
        <v>0.7824</v>
      </c>
      <c r="L28" s="8">
        <v>0.7635</v>
      </c>
      <c r="M28" s="8">
        <v>0.7424</v>
      </c>
      <c r="N28" s="15">
        <f>L28*M28*2/(L28+M28)</f>
        <v>0.752802178099475</v>
      </c>
      <c r="O28" s="8">
        <v>0.7773</v>
      </c>
      <c r="P28" s="8">
        <v>0.6448</v>
      </c>
      <c r="Q28" s="8">
        <v>0.6973</v>
      </c>
      <c r="R28" s="8">
        <f>Q28*P28*2/(Q28+P28)</f>
        <v>0.670023157737873</v>
      </c>
      <c r="S28" s="8">
        <v>0.7982</v>
      </c>
      <c r="T28" s="8">
        <v>0.7818</v>
      </c>
      <c r="U28" s="8">
        <v>0.7544</v>
      </c>
      <c r="V28" s="8">
        <f>T28*U28*2/(T28+U28)</f>
        <v>0.767855643796381</v>
      </c>
      <c r="W28" s="3"/>
      <c r="X28" s="3"/>
      <c r="Y28" s="3"/>
      <c r="Z28" s="3"/>
    </row>
    <row r="29" spans="2:26">
      <c r="B29" s="3"/>
      <c r="C29" s="3"/>
      <c r="D29" s="3"/>
      <c r="E29" s="7"/>
      <c r="F29" s="7" t="s">
        <v>31</v>
      </c>
      <c r="G29" s="8"/>
      <c r="H29" s="8"/>
      <c r="I29" s="8"/>
      <c r="J29" s="8"/>
      <c r="K29" s="15"/>
      <c r="L29" s="8"/>
      <c r="M29" s="8"/>
      <c r="N29" s="15"/>
      <c r="O29" s="8"/>
      <c r="P29" s="8"/>
      <c r="Q29" s="8"/>
      <c r="R29" s="8"/>
      <c r="S29" s="8"/>
      <c r="T29" s="8"/>
      <c r="U29" s="8"/>
      <c r="V29" s="8"/>
      <c r="W29" s="3"/>
      <c r="X29" s="3"/>
      <c r="Y29" s="3"/>
      <c r="Z29" s="3"/>
    </row>
    <row r="30" spans="2:26">
      <c r="B30" s="3"/>
      <c r="C30" s="3"/>
      <c r="D30" s="3"/>
      <c r="E30" s="7"/>
      <c r="F30" s="7" t="s">
        <v>30</v>
      </c>
      <c r="G30" s="8">
        <v>0.789</v>
      </c>
      <c r="H30" s="8">
        <v>0.784</v>
      </c>
      <c r="I30" s="8">
        <v>0.776</v>
      </c>
      <c r="J30" s="8">
        <v>0.78</v>
      </c>
      <c r="K30" s="15">
        <v>0.7935</v>
      </c>
      <c r="L30" s="8">
        <v>0.7702</v>
      </c>
      <c r="M30" s="8">
        <v>0.7775</v>
      </c>
      <c r="N30" s="15">
        <v>0.7738</v>
      </c>
      <c r="O30" s="8">
        <v>0.7655</v>
      </c>
      <c r="P30" s="8">
        <v>0.652</v>
      </c>
      <c r="Q30" s="8">
        <v>0.6835</v>
      </c>
      <c r="R30" s="8">
        <v>0.6674</v>
      </c>
      <c r="S30" s="8">
        <v>0.806</v>
      </c>
      <c r="T30" s="8">
        <v>0.771</v>
      </c>
      <c r="U30" s="8">
        <v>0.7645</v>
      </c>
      <c r="V30" s="8">
        <v>0.7677</v>
      </c>
      <c r="W30" s="3"/>
      <c r="X30" s="3"/>
      <c r="Y30" s="3"/>
      <c r="Z30" s="3"/>
    </row>
    <row r="31" spans="2:26">
      <c r="B31" s="3"/>
      <c r="C31" s="3"/>
      <c r="D31" s="3"/>
      <c r="E31" s="7"/>
      <c r="F31" s="7" t="s">
        <v>33</v>
      </c>
      <c r="G31" s="8"/>
      <c r="H31" s="8"/>
      <c r="I31" s="8"/>
      <c r="J31" s="8"/>
      <c r="K31" s="15"/>
      <c r="L31" s="8"/>
      <c r="M31" s="8"/>
      <c r="N31" s="15"/>
      <c r="O31" s="8"/>
      <c r="P31" s="8"/>
      <c r="Q31" s="8"/>
      <c r="R31" s="8"/>
      <c r="S31" s="8"/>
      <c r="T31" s="8"/>
      <c r="U31" s="8"/>
      <c r="V31" s="8"/>
      <c r="W31" s="3"/>
      <c r="X31" s="3"/>
      <c r="Y31" s="3"/>
      <c r="Z31" s="3"/>
    </row>
    <row r="32" spans="2:26">
      <c r="B32" s="3"/>
      <c r="C32" s="3"/>
      <c r="D32" s="3"/>
      <c r="E32" s="7"/>
      <c r="F32" s="7" t="s">
        <v>35</v>
      </c>
      <c r="G32" s="8"/>
      <c r="H32" s="8"/>
      <c r="I32" s="8"/>
      <c r="J32" s="8"/>
      <c r="K32" s="15"/>
      <c r="L32" s="8"/>
      <c r="M32" s="8"/>
      <c r="N32" s="15"/>
      <c r="O32" s="8"/>
      <c r="P32" s="8"/>
      <c r="Q32" s="8"/>
      <c r="R32" s="8"/>
      <c r="S32" s="8"/>
      <c r="T32" s="8"/>
      <c r="U32" s="8"/>
      <c r="V32" s="8"/>
      <c r="W32" s="3"/>
      <c r="X32" s="3"/>
      <c r="Y32" s="3"/>
      <c r="Z32" s="3"/>
    </row>
    <row r="33" spans="2:26">
      <c r="B33" s="3"/>
      <c r="C33" s="3"/>
      <c r="D33" s="3"/>
      <c r="E33" s="9" t="s">
        <v>37</v>
      </c>
      <c r="F33" s="7" t="s">
        <v>38</v>
      </c>
      <c r="G33" s="8" t="s">
        <v>88</v>
      </c>
      <c r="H33" s="8">
        <v>80.93</v>
      </c>
      <c r="I33" s="8">
        <v>80.75</v>
      </c>
      <c r="J33" s="8">
        <f>H33*I33*2/(H33+I33)</f>
        <v>80.8398998020782</v>
      </c>
      <c r="K33" s="15">
        <v>82.96</v>
      </c>
      <c r="L33" s="8">
        <v>81.07</v>
      </c>
      <c r="M33" s="8">
        <v>80.77</v>
      </c>
      <c r="N33" s="15">
        <f>L33*M33*2/(L33+M33)</f>
        <v>80.9197219476026</v>
      </c>
      <c r="O33" s="8">
        <v>81.38</v>
      </c>
      <c r="P33" s="8">
        <v>81.69</v>
      </c>
      <c r="Q33" s="8">
        <v>81.04</v>
      </c>
      <c r="R33" s="8">
        <f>Q33*P33*2/(Q33+P33)</f>
        <v>81.3637018373994</v>
      </c>
      <c r="S33" s="8">
        <v>82.03</v>
      </c>
      <c r="T33" s="8">
        <v>81.96</v>
      </c>
      <c r="U33" s="8">
        <v>81.42</v>
      </c>
      <c r="V33" s="8">
        <f>T33*U33*2/(T33+U33)</f>
        <v>81.6891076019097</v>
      </c>
      <c r="W33" s="3"/>
      <c r="X33" s="3"/>
      <c r="Y33" s="3"/>
      <c r="Z33" s="3"/>
    </row>
    <row r="34" spans="2:26">
      <c r="B34" s="3"/>
      <c r="C34" s="3"/>
      <c r="D34" s="3"/>
      <c r="E34" s="10"/>
      <c r="F34" s="7" t="s">
        <v>42</v>
      </c>
      <c r="G34" s="8" t="s">
        <v>89</v>
      </c>
      <c r="H34" s="8">
        <v>0.735</v>
      </c>
      <c r="I34" s="8">
        <v>0.746</v>
      </c>
      <c r="J34" s="8">
        <v>0.74</v>
      </c>
      <c r="K34" s="15">
        <v>0.7545</v>
      </c>
      <c r="L34" s="8">
        <v>0.745</v>
      </c>
      <c r="M34" s="8">
        <v>0.7495</v>
      </c>
      <c r="N34" s="15">
        <v>0.7472</v>
      </c>
      <c r="O34" s="8">
        <v>0.7305</v>
      </c>
      <c r="P34" s="8">
        <v>0.648</v>
      </c>
      <c r="Q34" s="8">
        <v>0.655</v>
      </c>
      <c r="R34" s="8">
        <v>0.6515</v>
      </c>
      <c r="S34" s="8">
        <v>0.76</v>
      </c>
      <c r="T34" s="8">
        <v>0.732</v>
      </c>
      <c r="U34" s="8">
        <v>0.7285</v>
      </c>
      <c r="V34" s="8">
        <v>0.7302</v>
      </c>
      <c r="W34" s="3"/>
      <c r="X34" s="3"/>
      <c r="Y34" s="3"/>
      <c r="Z34" s="3"/>
    </row>
    <row r="35" spans="2:26">
      <c r="B35" s="3"/>
      <c r="C35" s="3"/>
      <c r="D35" s="3"/>
      <c r="E35" s="10"/>
      <c r="F35" s="7" t="s">
        <v>60</v>
      </c>
      <c r="G35" s="8">
        <v>0.805</v>
      </c>
      <c r="H35" s="8">
        <v>0.8005</v>
      </c>
      <c r="I35" s="8">
        <v>0.795</v>
      </c>
      <c r="J35" s="8">
        <v>0.7977</v>
      </c>
      <c r="K35" s="15">
        <v>0.814</v>
      </c>
      <c r="L35" s="8">
        <v>0.802</v>
      </c>
      <c r="M35" s="8">
        <v>0.809</v>
      </c>
      <c r="N35" s="15">
        <v>0.8055</v>
      </c>
      <c r="O35" s="8">
        <v>0.7855</v>
      </c>
      <c r="P35" s="8">
        <v>0.712</v>
      </c>
      <c r="Q35" s="8">
        <v>0.72</v>
      </c>
      <c r="R35" s="8">
        <v>0.716</v>
      </c>
      <c r="S35" s="8">
        <v>0.8195</v>
      </c>
      <c r="T35" s="8">
        <v>0.79</v>
      </c>
      <c r="U35" s="8">
        <v>0.7825</v>
      </c>
      <c r="V35" s="8">
        <v>0.7862</v>
      </c>
      <c r="W35" s="3"/>
      <c r="X35" s="3"/>
      <c r="Y35" s="3"/>
      <c r="Z35" s="3"/>
    </row>
    <row r="36" spans="2:26">
      <c r="B36" s="3"/>
      <c r="C36" s="3"/>
      <c r="D36" s="3"/>
      <c r="E36" s="10"/>
      <c r="F36" s="7" t="s">
        <v>77</v>
      </c>
      <c r="G36" s="8"/>
      <c r="H36" s="8"/>
      <c r="I36" s="8"/>
      <c r="J36" s="8"/>
      <c r="K36" s="15"/>
      <c r="L36" s="8"/>
      <c r="M36" s="8"/>
      <c r="N36" s="15"/>
      <c r="O36" s="8"/>
      <c r="P36" s="8"/>
      <c r="Q36" s="8"/>
      <c r="R36" s="8"/>
      <c r="S36" s="8"/>
      <c r="T36" s="8"/>
      <c r="U36" s="8"/>
      <c r="V36" s="8"/>
      <c r="W36" s="3"/>
      <c r="X36" s="3"/>
      <c r="Y36" s="3"/>
      <c r="Z36" s="3"/>
    </row>
    <row r="37" spans="2:26">
      <c r="B37" s="3"/>
      <c r="C37" s="3"/>
      <c r="D37" s="3"/>
      <c r="E37" s="10"/>
      <c r="F37" s="7" t="s">
        <v>79</v>
      </c>
      <c r="G37" s="8"/>
      <c r="H37" s="8"/>
      <c r="I37" s="8"/>
      <c r="J37" s="8"/>
      <c r="K37" s="15"/>
      <c r="L37" s="8"/>
      <c r="M37" s="8"/>
      <c r="N37" s="15"/>
      <c r="O37" s="8"/>
      <c r="P37" s="8"/>
      <c r="Q37" s="8"/>
      <c r="R37" s="8"/>
      <c r="S37" s="8"/>
      <c r="T37" s="8"/>
      <c r="U37" s="8"/>
      <c r="V37" s="8"/>
      <c r="W37" s="3"/>
      <c r="X37" s="3"/>
      <c r="Y37" s="3"/>
      <c r="Z37" s="3"/>
    </row>
    <row r="38" spans="2:26">
      <c r="B38" s="3"/>
      <c r="C38" s="3"/>
      <c r="D38" s="3"/>
      <c r="E38" s="11"/>
      <c r="F38" s="7" t="s">
        <v>82</v>
      </c>
      <c r="G38" s="8"/>
      <c r="H38" s="8"/>
      <c r="I38" s="8"/>
      <c r="J38" s="8"/>
      <c r="K38" s="15"/>
      <c r="L38" s="8"/>
      <c r="M38" s="8"/>
      <c r="N38" s="15"/>
      <c r="O38" s="8"/>
      <c r="P38" s="8"/>
      <c r="Q38" s="8"/>
      <c r="R38" s="8"/>
      <c r="S38" s="8"/>
      <c r="T38" s="8"/>
      <c r="U38" s="8"/>
      <c r="V38" s="8"/>
      <c r="W38" s="3"/>
      <c r="X38" s="3"/>
      <c r="Y38" s="3"/>
      <c r="Z38" s="3"/>
    </row>
    <row r="39" spans="2:26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>
      <c r="B40" s="3"/>
      <c r="C40" s="3"/>
      <c r="D40" s="3"/>
      <c r="E40" s="4" t="s">
        <v>1</v>
      </c>
      <c r="F40" s="5" t="s">
        <v>2</v>
      </c>
      <c r="G40" s="5" t="s">
        <v>90</v>
      </c>
      <c r="H40" s="5"/>
      <c r="I40" s="5"/>
      <c r="J40" s="5"/>
      <c r="K40" s="5" t="s">
        <v>91</v>
      </c>
      <c r="L40" s="5"/>
      <c r="M40" s="5"/>
      <c r="N40" s="5"/>
      <c r="O40" s="5" t="s">
        <v>92</v>
      </c>
      <c r="P40" s="5"/>
      <c r="Q40" s="5"/>
      <c r="R40" s="5"/>
      <c r="S40" s="5" t="s">
        <v>93</v>
      </c>
      <c r="T40" s="5"/>
      <c r="U40" s="5"/>
      <c r="V40" s="5"/>
      <c r="W40" s="3"/>
      <c r="X40" s="3"/>
      <c r="Y40" s="3"/>
      <c r="Z40" s="3"/>
    </row>
    <row r="41" spans="2:26">
      <c r="B41" s="3"/>
      <c r="C41" s="3"/>
      <c r="D41" s="3"/>
      <c r="E41" s="6"/>
      <c r="F41" s="5"/>
      <c r="G41" s="5" t="s">
        <v>9</v>
      </c>
      <c r="H41" s="5" t="s">
        <v>10</v>
      </c>
      <c r="I41" s="5" t="s">
        <v>11</v>
      </c>
      <c r="J41" s="5" t="s">
        <v>12</v>
      </c>
      <c r="K41" s="5" t="s">
        <v>9</v>
      </c>
      <c r="L41" s="5" t="s">
        <v>10</v>
      </c>
      <c r="M41" s="5" t="s">
        <v>11</v>
      </c>
      <c r="N41" s="5" t="s">
        <v>12</v>
      </c>
      <c r="O41" s="5" t="s">
        <v>9</v>
      </c>
      <c r="P41" s="5" t="s">
        <v>10</v>
      </c>
      <c r="Q41" s="5" t="s">
        <v>11</v>
      </c>
      <c r="R41" s="5" t="s">
        <v>12</v>
      </c>
      <c r="S41" s="5" t="s">
        <v>9</v>
      </c>
      <c r="T41" s="5" t="s">
        <v>10</v>
      </c>
      <c r="U41" s="5" t="s">
        <v>11</v>
      </c>
      <c r="V41" s="5" t="s">
        <v>12</v>
      </c>
      <c r="W41" s="3"/>
      <c r="X41" s="3"/>
      <c r="Y41" s="3"/>
      <c r="Z41" s="3"/>
    </row>
    <row r="42" spans="2:26">
      <c r="B42" s="3"/>
      <c r="C42" s="3"/>
      <c r="D42" s="3"/>
      <c r="E42" s="7" t="s">
        <v>14</v>
      </c>
      <c r="F42" s="7" t="s">
        <v>16</v>
      </c>
      <c r="G42" s="8">
        <v>0.7619</v>
      </c>
      <c r="H42" s="8">
        <v>0.6194</v>
      </c>
      <c r="I42" s="8">
        <v>0.5227</v>
      </c>
      <c r="J42" s="8">
        <v>0.547</v>
      </c>
      <c r="K42" s="15">
        <v>0.7615</v>
      </c>
      <c r="L42" s="8">
        <v>0.6107</v>
      </c>
      <c r="M42" s="8">
        <v>0.5222</v>
      </c>
      <c r="N42" s="15">
        <v>0.5442</v>
      </c>
      <c r="O42" s="8">
        <v>0.6126</v>
      </c>
      <c r="P42" s="8">
        <v>0.4922</v>
      </c>
      <c r="Q42" s="8">
        <v>0.4899</v>
      </c>
      <c r="R42" s="8">
        <v>0.4682</v>
      </c>
      <c r="S42" s="8">
        <v>0.7716</v>
      </c>
      <c r="T42" s="8">
        <v>0.6097</v>
      </c>
      <c r="U42" s="8">
        <v>0.5437</v>
      </c>
      <c r="V42" s="8">
        <v>0.5607</v>
      </c>
      <c r="W42" s="3"/>
      <c r="X42" s="3"/>
      <c r="Y42" s="3"/>
      <c r="Z42" s="3"/>
    </row>
    <row r="43" spans="2:26">
      <c r="B43" s="3"/>
      <c r="C43" s="3"/>
      <c r="D43" s="3"/>
      <c r="E43" s="7" t="s">
        <v>23</v>
      </c>
      <c r="F43" s="7" t="s">
        <v>24</v>
      </c>
      <c r="G43" s="8">
        <v>0.768</v>
      </c>
      <c r="H43" s="8">
        <v>0.624</v>
      </c>
      <c r="I43" s="8">
        <v>0.53</v>
      </c>
      <c r="J43" s="8">
        <v>0.561</v>
      </c>
      <c r="K43" s="15">
        <v>0.7675</v>
      </c>
      <c r="L43" s="8">
        <v>0.6155</v>
      </c>
      <c r="M43" s="8">
        <v>0.527</v>
      </c>
      <c r="N43" s="15">
        <v>0.553</v>
      </c>
      <c r="O43" s="8"/>
      <c r="P43" s="8"/>
      <c r="Q43" s="8"/>
      <c r="R43" s="8"/>
      <c r="S43" s="8">
        <v>0.776</v>
      </c>
      <c r="T43" s="8"/>
      <c r="U43" s="8"/>
      <c r="V43" s="8"/>
      <c r="W43" s="3"/>
      <c r="X43" s="3"/>
      <c r="Y43" s="3"/>
      <c r="Z43" s="3"/>
    </row>
    <row r="44" spans="2:26">
      <c r="B44" s="3"/>
      <c r="C44" s="3"/>
      <c r="D44" s="3"/>
      <c r="E44" s="7"/>
      <c r="F44" s="7" t="s">
        <v>26</v>
      </c>
      <c r="G44" s="8">
        <v>0.772</v>
      </c>
      <c r="H44" s="8">
        <v>0.6285</v>
      </c>
      <c r="I44" s="8">
        <v>0.533</v>
      </c>
      <c r="J44" s="8">
        <v>0.565</v>
      </c>
      <c r="K44" s="15">
        <v>0.773</v>
      </c>
      <c r="L44" s="8">
        <v>0.621</v>
      </c>
      <c r="M44" s="8">
        <v>0.5305</v>
      </c>
      <c r="N44" s="15">
        <v>0.5582</v>
      </c>
      <c r="O44" s="8"/>
      <c r="P44" s="8"/>
      <c r="Q44" s="8"/>
      <c r="R44" s="8"/>
      <c r="S44" s="8">
        <v>0.78</v>
      </c>
      <c r="T44" s="8"/>
      <c r="U44" s="8"/>
      <c r="V44" s="8"/>
      <c r="W44" s="3"/>
      <c r="X44" s="3"/>
      <c r="Y44" s="3"/>
      <c r="Z44" s="3"/>
    </row>
    <row r="45" spans="2:26">
      <c r="B45" s="3"/>
      <c r="C45" s="3"/>
      <c r="D45" s="3"/>
      <c r="E45" s="7"/>
      <c r="F45" s="7" t="s">
        <v>28</v>
      </c>
      <c r="G45" s="8">
        <v>0.7655</v>
      </c>
      <c r="H45" s="8">
        <v>0.622</v>
      </c>
      <c r="I45" s="8">
        <v>0.5255</v>
      </c>
      <c r="J45" s="8">
        <v>0.554</v>
      </c>
      <c r="K45" s="15">
        <v>0.764</v>
      </c>
      <c r="L45" s="8">
        <v>0.6125</v>
      </c>
      <c r="M45" s="8">
        <v>0.525</v>
      </c>
      <c r="N45" s="15">
        <v>0.5485</v>
      </c>
      <c r="O45" s="8"/>
      <c r="P45" s="8"/>
      <c r="Q45" s="8"/>
      <c r="R45" s="8"/>
      <c r="S45" s="8">
        <v>0.772</v>
      </c>
      <c r="T45" s="8"/>
      <c r="U45" s="8"/>
      <c r="V45" s="8"/>
      <c r="W45" s="3"/>
      <c r="X45" s="3"/>
      <c r="Y45" s="3"/>
      <c r="Z45" s="3"/>
    </row>
    <row r="46" spans="2:26">
      <c r="B46" s="3"/>
      <c r="C46" s="3"/>
      <c r="D46" s="3"/>
      <c r="E46" s="7"/>
      <c r="F46" s="7" t="s">
        <v>31</v>
      </c>
      <c r="G46" s="8"/>
      <c r="H46" s="8"/>
      <c r="I46" s="8"/>
      <c r="J46" s="8"/>
      <c r="K46" s="15"/>
      <c r="L46" s="8"/>
      <c r="M46" s="8"/>
      <c r="N46" s="15"/>
      <c r="O46" s="8"/>
      <c r="P46" s="8"/>
      <c r="Q46" s="8"/>
      <c r="R46" s="8"/>
      <c r="S46" s="8"/>
      <c r="T46" s="8"/>
      <c r="U46" s="8"/>
      <c r="V46" s="8"/>
      <c r="W46" s="3"/>
      <c r="X46" s="3"/>
      <c r="Y46" s="3"/>
      <c r="Z46" s="3"/>
    </row>
    <row r="47" spans="2:26">
      <c r="B47" s="3"/>
      <c r="C47" s="3"/>
      <c r="D47" s="3"/>
      <c r="E47" s="7"/>
      <c r="F47" s="7" t="s">
        <v>30</v>
      </c>
      <c r="G47" s="1">
        <v>0.775</v>
      </c>
      <c r="H47" s="8">
        <v>0.632</v>
      </c>
      <c r="I47" s="8">
        <v>0.5385</v>
      </c>
      <c r="J47" s="8">
        <v>0.5697</v>
      </c>
      <c r="K47" s="15">
        <v>0.778</v>
      </c>
      <c r="L47" s="8">
        <v>0.624</v>
      </c>
      <c r="M47" s="8">
        <v>0.5355</v>
      </c>
      <c r="N47" s="15">
        <v>0.5625</v>
      </c>
      <c r="O47" s="8"/>
      <c r="P47" s="8"/>
      <c r="Q47" s="8"/>
      <c r="R47" s="8"/>
      <c r="S47" s="8">
        <v>0.782</v>
      </c>
      <c r="T47" s="8"/>
      <c r="U47" s="8"/>
      <c r="V47" s="8"/>
      <c r="W47" s="3"/>
      <c r="X47" s="3"/>
      <c r="Y47" s="3"/>
      <c r="Z47" s="3"/>
    </row>
    <row r="48" spans="2:26">
      <c r="B48" s="3"/>
      <c r="C48" s="3"/>
      <c r="D48" s="3"/>
      <c r="E48" s="7"/>
      <c r="F48" s="7" t="s">
        <v>33</v>
      </c>
      <c r="G48" s="8"/>
      <c r="H48" s="8"/>
      <c r="I48" s="8"/>
      <c r="J48" s="8"/>
      <c r="K48" s="15"/>
      <c r="L48" s="8"/>
      <c r="M48" s="8"/>
      <c r="N48" s="15"/>
      <c r="O48" s="8"/>
      <c r="P48" s="8"/>
      <c r="Q48" s="8"/>
      <c r="R48" s="8"/>
      <c r="S48" s="8"/>
      <c r="T48" s="8"/>
      <c r="U48" s="8"/>
      <c r="V48" s="8"/>
      <c r="W48" s="3"/>
      <c r="X48" s="3"/>
      <c r="Y48" s="3"/>
      <c r="Z48" s="3"/>
    </row>
    <row r="49" spans="2:26">
      <c r="B49" s="3"/>
      <c r="C49" s="3"/>
      <c r="D49" s="3"/>
      <c r="E49" s="7"/>
      <c r="F49" s="7" t="s">
        <v>35</v>
      </c>
      <c r="G49" s="8"/>
      <c r="H49" s="8"/>
      <c r="I49" s="8"/>
      <c r="J49" s="8"/>
      <c r="K49" s="15"/>
      <c r="L49" s="8"/>
      <c r="M49" s="8"/>
      <c r="N49" s="15"/>
      <c r="O49" s="8"/>
      <c r="P49" s="8"/>
      <c r="Q49" s="8"/>
      <c r="R49" s="8"/>
      <c r="S49" s="8"/>
      <c r="T49" s="8"/>
      <c r="U49" s="8"/>
      <c r="V49" s="8"/>
      <c r="W49" s="3"/>
      <c r="X49" s="3"/>
      <c r="Y49" s="3"/>
      <c r="Z49" s="3"/>
    </row>
    <row r="50" spans="2:26">
      <c r="B50" s="3"/>
      <c r="C50" s="3"/>
      <c r="D50" s="3"/>
      <c r="E50" s="9" t="s">
        <v>37</v>
      </c>
      <c r="F50" s="7" t="s">
        <v>38</v>
      </c>
      <c r="G50" s="8">
        <v>0.7795</v>
      </c>
      <c r="H50" s="8">
        <v>0.64</v>
      </c>
      <c r="I50" s="8">
        <v>0.5425</v>
      </c>
      <c r="J50" s="8">
        <v>0.578</v>
      </c>
      <c r="K50" s="15">
        <v>0.782</v>
      </c>
      <c r="L50" s="8">
        <v>0.628</v>
      </c>
      <c r="M50" s="8">
        <v>0.538</v>
      </c>
      <c r="N50" s="15">
        <v>0.5675</v>
      </c>
      <c r="O50" s="8"/>
      <c r="P50" s="8"/>
      <c r="Q50" s="8"/>
      <c r="R50" s="8"/>
      <c r="S50" s="8">
        <v>0.785</v>
      </c>
      <c r="T50" s="8"/>
      <c r="U50" s="8"/>
      <c r="V50" s="8"/>
      <c r="W50" s="3"/>
      <c r="X50" s="3"/>
      <c r="Y50" s="3"/>
      <c r="Z50" s="3"/>
    </row>
    <row r="51" spans="2:26">
      <c r="B51" s="3"/>
      <c r="C51" s="3"/>
      <c r="D51" s="3"/>
      <c r="E51" s="10"/>
      <c r="F51" s="7" t="s">
        <v>42</v>
      </c>
      <c r="G51" s="8">
        <v>0.7575</v>
      </c>
      <c r="H51" s="8">
        <v>0.6055</v>
      </c>
      <c r="I51" s="8">
        <v>0.515</v>
      </c>
      <c r="J51" s="8">
        <v>0.557</v>
      </c>
      <c r="K51" s="15">
        <v>0.759</v>
      </c>
      <c r="L51" s="8">
        <v>0.598</v>
      </c>
      <c r="M51" s="8">
        <v>0.5105</v>
      </c>
      <c r="N51" s="15">
        <v>0.552</v>
      </c>
      <c r="O51" s="8"/>
      <c r="P51" s="8"/>
      <c r="Q51" s="8"/>
      <c r="R51" s="8"/>
      <c r="S51" s="8">
        <v>0.77</v>
      </c>
      <c r="T51" s="8"/>
      <c r="U51" s="8"/>
      <c r="V51" s="8"/>
      <c r="W51" s="3"/>
      <c r="X51" s="3"/>
      <c r="Y51" s="3"/>
      <c r="Z51" s="3"/>
    </row>
    <row r="52" spans="2:26">
      <c r="B52" s="3"/>
      <c r="C52" s="3"/>
      <c r="D52" s="3"/>
      <c r="E52" s="10"/>
      <c r="F52" s="7" t="s">
        <v>60</v>
      </c>
      <c r="G52" s="8">
        <v>0.7835</v>
      </c>
      <c r="H52" s="8">
        <v>0.645</v>
      </c>
      <c r="I52" s="8">
        <v>0.55</v>
      </c>
      <c r="J52" s="8">
        <v>0.5825</v>
      </c>
      <c r="K52" s="15">
        <v>0.7865</v>
      </c>
      <c r="L52" s="8">
        <v>0.632</v>
      </c>
      <c r="M52" s="8">
        <v>0.5425</v>
      </c>
      <c r="N52" s="15">
        <v>0.5715</v>
      </c>
      <c r="O52" s="8"/>
      <c r="P52" s="8"/>
      <c r="Q52" s="8"/>
      <c r="R52" s="8"/>
      <c r="S52" s="8">
        <v>0.795</v>
      </c>
      <c r="T52" s="8">
        <v>0.6246</v>
      </c>
      <c r="U52" s="8">
        <v>0.5639</v>
      </c>
      <c r="V52" s="8">
        <v>0.577</v>
      </c>
      <c r="W52" s="3"/>
      <c r="X52" s="3"/>
      <c r="Y52" s="3"/>
      <c r="Z52" s="3"/>
    </row>
    <row r="53" spans="2:26">
      <c r="B53" s="3"/>
      <c r="C53" s="3"/>
      <c r="D53" s="3"/>
      <c r="E53" s="10"/>
      <c r="F53" s="7" t="s">
        <v>77</v>
      </c>
      <c r="G53" s="8"/>
      <c r="H53" s="8"/>
      <c r="I53" s="8"/>
      <c r="J53" s="8"/>
      <c r="K53" s="15"/>
      <c r="L53" s="8"/>
      <c r="M53" s="8"/>
      <c r="N53" s="15"/>
      <c r="O53" s="8"/>
      <c r="P53" s="8"/>
      <c r="Q53" s="8"/>
      <c r="R53" s="8"/>
      <c r="S53" s="8"/>
      <c r="T53" s="8"/>
      <c r="U53" s="8"/>
      <c r="V53" s="8"/>
      <c r="W53" s="3"/>
      <c r="X53" s="3"/>
      <c r="Y53" s="3"/>
      <c r="Z53" s="3"/>
    </row>
    <row r="54" spans="2:26">
      <c r="B54" s="3"/>
      <c r="C54" s="3"/>
      <c r="D54" s="3"/>
      <c r="E54" s="10"/>
      <c r="F54" s="7" t="s">
        <v>79</v>
      </c>
      <c r="G54" s="8"/>
      <c r="H54" s="8"/>
      <c r="I54" s="8"/>
      <c r="J54" s="8"/>
      <c r="K54" s="15"/>
      <c r="L54" s="8"/>
      <c r="M54" s="8"/>
      <c r="N54" s="15"/>
      <c r="O54" s="8"/>
      <c r="P54" s="8"/>
      <c r="Q54" s="8"/>
      <c r="R54" s="8"/>
      <c r="S54" s="8"/>
      <c r="T54" s="8"/>
      <c r="U54" s="8"/>
      <c r="V54" s="8"/>
      <c r="W54" s="3"/>
      <c r="X54" s="3"/>
      <c r="Y54" s="3"/>
      <c r="Z54" s="3"/>
    </row>
    <row r="55" spans="2:26">
      <c r="B55" s="3"/>
      <c r="C55" s="3"/>
      <c r="D55" s="3"/>
      <c r="E55" s="11"/>
      <c r="F55" s="7" t="s">
        <v>82</v>
      </c>
      <c r="G55" s="8"/>
      <c r="H55" s="8"/>
      <c r="I55" s="8"/>
      <c r="J55" s="8"/>
      <c r="K55" s="15"/>
      <c r="L55" s="8"/>
      <c r="M55" s="8"/>
      <c r="N55" s="15"/>
      <c r="O55" s="8"/>
      <c r="P55" s="8"/>
      <c r="Q55" s="8"/>
      <c r="R55" s="8"/>
      <c r="S55" s="8"/>
      <c r="T55" s="8"/>
      <c r="U55" s="8"/>
      <c r="V55" s="8"/>
      <c r="W55" s="3"/>
      <c r="X55" s="3"/>
      <c r="Y55" s="3"/>
      <c r="Z55" s="3"/>
    </row>
    <row r="56" spans="2:2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>
      <c r="B59" s="3"/>
      <c r="C59" s="3"/>
      <c r="D59" s="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3"/>
      <c r="X59" s="3"/>
      <c r="Y59" s="3"/>
      <c r="Z59" s="3"/>
    </row>
    <row r="60" spans="2:26">
      <c r="B60" s="3"/>
      <c r="C60" s="3"/>
      <c r="D60" s="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3"/>
      <c r="X60" s="3"/>
      <c r="Y60" s="3"/>
      <c r="Z60" s="3"/>
    </row>
    <row r="61" spans="2:26">
      <c r="B61" s="3"/>
      <c r="C61" s="3"/>
      <c r="D61" s="3"/>
      <c r="E61" s="3"/>
      <c r="F61" s="14" t="s">
        <v>94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3"/>
      <c r="U61" s="3"/>
      <c r="V61" s="3"/>
      <c r="W61" s="3"/>
      <c r="X61" s="3"/>
      <c r="Y61" s="3"/>
      <c r="Z61" s="3"/>
    </row>
    <row r="62" spans="2:26">
      <c r="B62" s="3"/>
      <c r="C62" s="3"/>
      <c r="D62" s="3"/>
      <c r="E62" s="4" t="s">
        <v>1</v>
      </c>
      <c r="F62" s="5" t="s">
        <v>2</v>
      </c>
      <c r="G62" s="5" t="s">
        <v>95</v>
      </c>
      <c r="H62" s="5"/>
      <c r="I62" s="5"/>
      <c r="J62" s="5"/>
      <c r="K62" s="5" t="s">
        <v>96</v>
      </c>
      <c r="L62" s="5"/>
      <c r="M62" s="5"/>
      <c r="N62" s="5"/>
      <c r="O62" s="5" t="s">
        <v>97</v>
      </c>
      <c r="P62" s="5"/>
      <c r="Q62" s="5"/>
      <c r="R62" s="5"/>
      <c r="S62" s="5" t="s">
        <v>98</v>
      </c>
      <c r="T62" s="5"/>
      <c r="U62" s="5"/>
      <c r="V62" s="5"/>
      <c r="W62" s="3"/>
      <c r="X62" s="3"/>
      <c r="Y62" s="3"/>
      <c r="Z62" s="3"/>
    </row>
    <row r="63" spans="2:26">
      <c r="B63" s="3"/>
      <c r="C63" s="3"/>
      <c r="D63" s="3"/>
      <c r="E63" s="6"/>
      <c r="F63" s="5"/>
      <c r="G63" s="5" t="s">
        <v>9</v>
      </c>
      <c r="H63" s="5" t="s">
        <v>10</v>
      </c>
      <c r="I63" s="5" t="s">
        <v>11</v>
      </c>
      <c r="J63" s="5" t="s">
        <v>12</v>
      </c>
      <c r="K63" s="5" t="s">
        <v>9</v>
      </c>
      <c r="L63" s="5" t="s">
        <v>10</v>
      </c>
      <c r="M63" s="5" t="s">
        <v>11</v>
      </c>
      <c r="N63" s="5" t="s">
        <v>12</v>
      </c>
      <c r="O63" s="5" t="s">
        <v>9</v>
      </c>
      <c r="P63" s="5" t="s">
        <v>10</v>
      </c>
      <c r="Q63" s="5" t="s">
        <v>11</v>
      </c>
      <c r="R63" s="5" t="s">
        <v>12</v>
      </c>
      <c r="S63" s="5" t="s">
        <v>9</v>
      </c>
      <c r="T63" s="5" t="s">
        <v>10</v>
      </c>
      <c r="U63" s="5" t="s">
        <v>11</v>
      </c>
      <c r="V63" s="5" t="s">
        <v>12</v>
      </c>
      <c r="W63" s="3"/>
      <c r="X63" s="3"/>
      <c r="Y63" s="3"/>
      <c r="Z63" s="3"/>
    </row>
    <row r="64" spans="2:26">
      <c r="B64" s="3"/>
      <c r="C64" s="3"/>
      <c r="D64" s="3"/>
      <c r="E64" s="7" t="s">
        <v>14</v>
      </c>
      <c r="F64" s="7" t="s">
        <v>16</v>
      </c>
      <c r="G64" s="8">
        <v>0.6771</v>
      </c>
      <c r="H64" s="8">
        <v>0.7183</v>
      </c>
      <c r="I64" s="8">
        <v>0.7787</v>
      </c>
      <c r="J64" s="8">
        <v>0.6851</v>
      </c>
      <c r="K64" s="8">
        <v>0.7236</v>
      </c>
      <c r="L64" s="8">
        <v>0.746</v>
      </c>
      <c r="M64" s="8">
        <v>0.7336</v>
      </c>
      <c r="N64" s="8">
        <f>L64*M64*2/(L64+M64)</f>
        <v>0.739748040010814</v>
      </c>
      <c r="O64" s="8">
        <v>0.6458</v>
      </c>
      <c r="P64" s="8">
        <v>0.7052</v>
      </c>
      <c r="Q64" s="8">
        <v>0.7314</v>
      </c>
      <c r="R64" s="8">
        <v>0.6624</v>
      </c>
      <c r="S64" s="8">
        <v>0.7007</v>
      </c>
      <c r="T64" s="8">
        <v>0.7203</v>
      </c>
      <c r="U64" s="8">
        <v>0.7261</v>
      </c>
      <c r="V64" s="8">
        <v>0.7023</v>
      </c>
      <c r="W64" s="3"/>
      <c r="X64" s="3"/>
      <c r="Y64" s="3"/>
      <c r="Z64" s="3"/>
    </row>
    <row r="65" spans="2:26">
      <c r="B65" s="3"/>
      <c r="C65" s="3"/>
      <c r="D65" s="3"/>
      <c r="E65" s="7" t="s">
        <v>23</v>
      </c>
      <c r="F65" s="7" t="s">
        <v>24</v>
      </c>
      <c r="G65" s="8">
        <v>0.6832</v>
      </c>
      <c r="H65" s="8">
        <v>0.7082</v>
      </c>
      <c r="I65" s="8">
        <v>0.778</v>
      </c>
      <c r="J65" s="8">
        <v>0.7356</v>
      </c>
      <c r="K65" s="8">
        <v>0.7348</v>
      </c>
      <c r="L65" s="8">
        <v>0.7443</v>
      </c>
      <c r="M65" s="8">
        <v>0.7005</v>
      </c>
      <c r="N65" s="8">
        <f>L65*M65*2/(L65+M65)</f>
        <v>0.721736088039867</v>
      </c>
      <c r="O65" s="8">
        <v>0.702</v>
      </c>
      <c r="P65" s="8">
        <v>0.6797</v>
      </c>
      <c r="Q65" s="8">
        <v>0.633</v>
      </c>
      <c r="R65" s="8">
        <f>P65*Q65*2/(P65+Q65)</f>
        <v>0.655519311343033</v>
      </c>
      <c r="S65" s="8">
        <v>0.7161</v>
      </c>
      <c r="T65" s="8">
        <v>0.6678</v>
      </c>
      <c r="U65" s="8">
        <v>0.6168</v>
      </c>
      <c r="V65" s="8">
        <f>T65*U65*2/(T65+U65)</f>
        <v>0.641287622606259</v>
      </c>
      <c r="W65" s="3"/>
      <c r="X65" s="3"/>
      <c r="Y65" s="3"/>
      <c r="Z65" s="3"/>
    </row>
    <row r="66" spans="2:26">
      <c r="B66" s="3"/>
      <c r="C66" s="3"/>
      <c r="D66" s="3"/>
      <c r="E66" s="7"/>
      <c r="F66" s="7" t="s">
        <v>26</v>
      </c>
      <c r="G66" s="8">
        <v>0.687</v>
      </c>
      <c r="H66" s="8">
        <v>0.7348</v>
      </c>
      <c r="I66" s="8">
        <v>0.787</v>
      </c>
      <c r="J66" s="8">
        <v>0.7462</v>
      </c>
      <c r="K66" s="8">
        <v>0.7626</v>
      </c>
      <c r="L66" s="8">
        <v>0.7763</v>
      </c>
      <c r="M66" s="8">
        <v>0.7626</v>
      </c>
      <c r="N66" s="8">
        <v>0.7542</v>
      </c>
      <c r="O66" s="8">
        <v>0.7351</v>
      </c>
      <c r="P66" s="8">
        <v>0.7456</v>
      </c>
      <c r="Q66" s="8">
        <v>0.7351</v>
      </c>
      <c r="R66" s="8">
        <f>P66*Q66*2/(P66+Q66)</f>
        <v>0.740312770986695</v>
      </c>
      <c r="S66" s="8">
        <v>0.7429</v>
      </c>
      <c r="T66" s="8">
        <v>0.7512</v>
      </c>
      <c r="U66" s="8">
        <v>0.7429</v>
      </c>
      <c r="V66" s="8">
        <f>T66*U66*2/(T66+U66)</f>
        <v>0.747026945987551</v>
      </c>
      <c r="W66" s="3"/>
      <c r="X66" s="3"/>
      <c r="Y66" s="3"/>
      <c r="Z66" s="3"/>
    </row>
    <row r="67" spans="2:26">
      <c r="B67" s="3"/>
      <c r="C67" s="3"/>
      <c r="D67" s="3"/>
      <c r="E67" s="7"/>
      <c r="F67" s="7" t="s">
        <v>28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3"/>
      <c r="X67" s="3"/>
      <c r="Y67" s="3"/>
      <c r="Z67" s="3"/>
    </row>
    <row r="68" spans="2:26">
      <c r="B68" s="3"/>
      <c r="C68" s="3"/>
      <c r="D68" s="3"/>
      <c r="E68" s="7"/>
      <c r="F68" s="7" t="s">
        <v>31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3"/>
      <c r="X68" s="3"/>
      <c r="Y68" s="3"/>
      <c r="Z68" s="3"/>
    </row>
    <row r="69" spans="2:26">
      <c r="B69" s="3"/>
      <c r="C69" s="3"/>
      <c r="D69" s="3"/>
      <c r="E69" s="7"/>
      <c r="F69" s="7" t="s">
        <v>30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3"/>
      <c r="X69" s="3"/>
      <c r="Y69" s="3"/>
      <c r="Z69" s="3"/>
    </row>
    <row r="70" spans="2:26">
      <c r="B70" s="3"/>
      <c r="C70" s="3"/>
      <c r="D70" s="3"/>
      <c r="E70" s="7"/>
      <c r="F70" s="7" t="s">
        <v>33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3"/>
      <c r="X70" s="3"/>
      <c r="Y70" s="3"/>
      <c r="Z70" s="3"/>
    </row>
    <row r="71" spans="2:26">
      <c r="B71" s="3"/>
      <c r="C71" s="3"/>
      <c r="D71" s="3"/>
      <c r="E71" s="7"/>
      <c r="F71" s="7" t="s">
        <v>35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3"/>
      <c r="X71" s="3"/>
      <c r="Y71" s="3"/>
      <c r="Z71" s="3"/>
    </row>
    <row r="72" spans="2:26">
      <c r="B72" s="3"/>
      <c r="C72" s="3"/>
      <c r="D72" s="3"/>
      <c r="E72" s="9" t="s">
        <v>37</v>
      </c>
      <c r="F72" s="7" t="s">
        <v>38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3"/>
      <c r="X72" s="3"/>
      <c r="Y72" s="3"/>
      <c r="Z72" s="3"/>
    </row>
    <row r="73" spans="2:26">
      <c r="B73" s="3"/>
      <c r="C73" s="3"/>
      <c r="D73" s="3"/>
      <c r="E73" s="10"/>
      <c r="F73" s="7" t="s">
        <v>42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3"/>
      <c r="X73" s="3"/>
      <c r="Y73" s="3"/>
      <c r="Z73" s="3"/>
    </row>
    <row r="74" spans="2:26">
      <c r="B74" s="3"/>
      <c r="C74" s="3"/>
      <c r="D74" s="3"/>
      <c r="E74" s="10"/>
      <c r="F74" s="7" t="s">
        <v>60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3"/>
      <c r="X74" s="3"/>
      <c r="Y74" s="3"/>
      <c r="Z74" s="3"/>
    </row>
    <row r="75" spans="2:26">
      <c r="B75" s="3"/>
      <c r="C75" s="3"/>
      <c r="D75" s="3"/>
      <c r="E75" s="10"/>
      <c r="F75" s="7" t="s">
        <v>77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3"/>
      <c r="X75" s="13"/>
      <c r="Y75" s="13"/>
      <c r="Z75" s="3"/>
    </row>
    <row r="76" spans="2:26">
      <c r="B76" s="3"/>
      <c r="C76" s="3"/>
      <c r="D76" s="3"/>
      <c r="E76" s="10"/>
      <c r="F76" s="7" t="s">
        <v>79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3"/>
      <c r="X76" s="13"/>
      <c r="Y76" s="13"/>
      <c r="Z76" s="3"/>
    </row>
    <row r="77" spans="2:26">
      <c r="B77" s="3"/>
      <c r="C77" s="3"/>
      <c r="D77" s="3"/>
      <c r="E77" s="11"/>
      <c r="F77" s="7" t="s">
        <v>82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3"/>
      <c r="X77" s="3"/>
      <c r="Y77" s="3"/>
      <c r="Z77" s="3"/>
    </row>
    <row r="78" spans="2:26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>
      <c r="B79" s="3"/>
      <c r="C79" s="3"/>
      <c r="D79" s="3"/>
      <c r="E79" s="4" t="s">
        <v>1</v>
      </c>
      <c r="F79" s="5" t="s">
        <v>2</v>
      </c>
      <c r="G79" s="5" t="s">
        <v>99</v>
      </c>
      <c r="H79" s="5"/>
      <c r="I79" s="5"/>
      <c r="J79" s="5"/>
      <c r="K79" s="5" t="s">
        <v>100</v>
      </c>
      <c r="L79" s="5"/>
      <c r="M79" s="5"/>
      <c r="N79" s="5"/>
      <c r="O79" s="5" t="s">
        <v>101</v>
      </c>
      <c r="P79" s="5"/>
      <c r="Q79" s="5"/>
      <c r="R79" s="5"/>
      <c r="S79" s="5" t="s">
        <v>102</v>
      </c>
      <c r="T79" s="5"/>
      <c r="U79" s="5"/>
      <c r="V79" s="5"/>
      <c r="W79" s="3"/>
      <c r="X79" s="3"/>
      <c r="Y79" s="3"/>
      <c r="Z79" s="3"/>
    </row>
    <row r="80" spans="2:26">
      <c r="B80" s="3"/>
      <c r="C80" s="3"/>
      <c r="D80" s="3"/>
      <c r="E80" s="6"/>
      <c r="F80" s="5"/>
      <c r="G80" s="5" t="s">
        <v>9</v>
      </c>
      <c r="H80" s="5" t="s">
        <v>10</v>
      </c>
      <c r="I80" s="5" t="s">
        <v>11</v>
      </c>
      <c r="J80" s="5" t="s">
        <v>12</v>
      </c>
      <c r="K80" s="5" t="s">
        <v>9</v>
      </c>
      <c r="L80" s="5" t="s">
        <v>10</v>
      </c>
      <c r="M80" s="5" t="s">
        <v>11</v>
      </c>
      <c r="N80" s="5" t="s">
        <v>12</v>
      </c>
      <c r="O80" s="5" t="s">
        <v>9</v>
      </c>
      <c r="P80" s="5" t="s">
        <v>10</v>
      </c>
      <c r="Q80" s="5" t="s">
        <v>11</v>
      </c>
      <c r="R80" s="5" t="s">
        <v>12</v>
      </c>
      <c r="S80" s="5" t="s">
        <v>9</v>
      </c>
      <c r="T80" s="5" t="s">
        <v>10</v>
      </c>
      <c r="U80" s="5" t="s">
        <v>11</v>
      </c>
      <c r="V80" s="5" t="s">
        <v>12</v>
      </c>
      <c r="W80" s="3"/>
      <c r="X80" s="3"/>
      <c r="Y80" s="3"/>
      <c r="Z80" s="3"/>
    </row>
    <row r="81" spans="2:26">
      <c r="B81" s="3"/>
      <c r="C81" s="3"/>
      <c r="D81" s="3"/>
      <c r="E81" s="7" t="s">
        <v>14</v>
      </c>
      <c r="F81" s="7" t="s">
        <v>16</v>
      </c>
      <c r="G81" s="8">
        <v>0.6379</v>
      </c>
      <c r="H81" s="8">
        <v>0.5272</v>
      </c>
      <c r="I81" s="8">
        <v>0.6337</v>
      </c>
      <c r="J81" s="8">
        <v>0.5647</v>
      </c>
      <c r="K81" s="8">
        <v>0.663</v>
      </c>
      <c r="L81" s="8">
        <v>0.5449</v>
      </c>
      <c r="M81" s="8">
        <v>0.6459</v>
      </c>
      <c r="N81" s="8">
        <v>0.5883</v>
      </c>
      <c r="O81" s="8">
        <v>0.5094</v>
      </c>
      <c r="P81" s="8">
        <v>0.5336</v>
      </c>
      <c r="Q81" s="8">
        <v>0.5416</v>
      </c>
      <c r="R81" s="8">
        <v>0.4411</v>
      </c>
      <c r="S81" s="8">
        <v>0.5893</v>
      </c>
      <c r="T81" s="8">
        <v>0.5305</v>
      </c>
      <c r="U81" s="8">
        <v>0.6042</v>
      </c>
      <c r="V81" s="8">
        <v>0.5417</v>
      </c>
      <c r="W81" s="3"/>
      <c r="X81" s="3"/>
      <c r="Y81" s="3"/>
      <c r="Z81" s="3"/>
    </row>
    <row r="82" spans="2:26">
      <c r="B82" s="3"/>
      <c r="C82" s="3"/>
      <c r="D82" s="3"/>
      <c r="E82" s="7" t="s">
        <v>23</v>
      </c>
      <c r="F82" s="7" t="s">
        <v>24</v>
      </c>
      <c r="G82" s="8">
        <v>0.6702</v>
      </c>
      <c r="H82" s="8">
        <v>0.567</v>
      </c>
      <c r="I82" s="8">
        <v>0.6525</v>
      </c>
      <c r="J82" s="8">
        <f>H82*I82*2/(H82+I82)</f>
        <v>0.606752767527675</v>
      </c>
      <c r="K82" s="8">
        <v>0.6766</v>
      </c>
      <c r="L82" s="8">
        <v>0.5765</v>
      </c>
      <c r="M82" s="8">
        <v>0.6495</v>
      </c>
      <c r="N82" s="8">
        <f>L82*M82*2/(L82+M82)</f>
        <v>0.610826672104405</v>
      </c>
      <c r="O82" s="8">
        <v>0.5729</v>
      </c>
      <c r="P82" s="8">
        <v>0.587</v>
      </c>
      <c r="Q82" s="8">
        <v>0.5791</v>
      </c>
      <c r="R82" s="8">
        <v>0.5127</v>
      </c>
      <c r="S82" s="8">
        <v>0.6162</v>
      </c>
      <c r="T82" s="8">
        <v>0.5458</v>
      </c>
      <c r="U82" s="8">
        <v>0.6296</v>
      </c>
      <c r="V82" s="8">
        <f>T82*U82*2/(T82+U82)</f>
        <v>0.584712744597584</v>
      </c>
      <c r="W82" s="3"/>
      <c r="X82" s="3"/>
      <c r="Y82" s="3"/>
      <c r="Z82" s="3"/>
    </row>
    <row r="83" spans="2:26">
      <c r="B83" s="3"/>
      <c r="C83" s="3"/>
      <c r="D83" s="3"/>
      <c r="E83" s="7"/>
      <c r="F83" s="7" t="s">
        <v>26</v>
      </c>
      <c r="G83" s="8">
        <v>0.6636</v>
      </c>
      <c r="H83" s="8">
        <v>0.5314</v>
      </c>
      <c r="I83" s="8">
        <v>0.6636</v>
      </c>
      <c r="J83" s="8">
        <f>H83*I83*2/(H83+I83)</f>
        <v>0.590187514644351</v>
      </c>
      <c r="K83" s="8">
        <v>0.6882</v>
      </c>
      <c r="L83" s="8">
        <v>0.5822</v>
      </c>
      <c r="M83" s="8">
        <v>0.6782</v>
      </c>
      <c r="N83" s="8">
        <f>L83*M83*2/(L83+M83)</f>
        <v>0.626544017772136</v>
      </c>
      <c r="O83" s="8">
        <v>0.5667</v>
      </c>
      <c r="P83" s="8">
        <v>0.5988</v>
      </c>
      <c r="Q83" s="8">
        <v>0.5667</v>
      </c>
      <c r="R83" s="8">
        <v>0.5441</v>
      </c>
      <c r="S83" s="8">
        <v>0.5909</v>
      </c>
      <c r="T83" s="8">
        <v>0.6226</v>
      </c>
      <c r="U83" s="8">
        <v>0.6309</v>
      </c>
      <c r="V83" s="8">
        <f>T83*U83*2/(T83+U83)</f>
        <v>0.626722520941364</v>
      </c>
      <c r="W83" s="3"/>
      <c r="X83" s="3"/>
      <c r="Y83" s="3"/>
      <c r="Z83" s="3"/>
    </row>
    <row r="84" spans="2:26">
      <c r="B84" s="3"/>
      <c r="C84" s="3"/>
      <c r="D84" s="3"/>
      <c r="E84" s="7"/>
      <c r="F84" s="7" t="s">
        <v>28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3"/>
      <c r="X84" s="3"/>
      <c r="Y84" s="3"/>
      <c r="Z84" s="3"/>
    </row>
    <row r="85" spans="2:26">
      <c r="B85" s="3"/>
      <c r="C85" s="3"/>
      <c r="D85" s="3"/>
      <c r="E85" s="7"/>
      <c r="F85" s="7" t="s">
        <v>31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3"/>
      <c r="X85" s="3"/>
      <c r="Y85" s="3"/>
      <c r="Z85" s="3"/>
    </row>
    <row r="86" spans="2:26">
      <c r="B86" s="3"/>
      <c r="C86" s="3"/>
      <c r="D86" s="3"/>
      <c r="E86" s="7"/>
      <c r="F86" s="7" t="s">
        <v>30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3"/>
      <c r="X86" s="3"/>
      <c r="Y86" s="3"/>
      <c r="Z86" s="3"/>
    </row>
    <row r="87" spans="2:26">
      <c r="B87" s="3"/>
      <c r="C87" s="3"/>
      <c r="D87" s="3"/>
      <c r="E87" s="7"/>
      <c r="F87" s="7" t="s">
        <v>33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3"/>
      <c r="X87" s="3"/>
      <c r="Y87" s="3"/>
      <c r="Z87" s="3"/>
    </row>
    <row r="88" spans="2:26">
      <c r="B88" s="3"/>
      <c r="C88" s="3"/>
      <c r="D88" s="3"/>
      <c r="E88" s="7"/>
      <c r="F88" s="7" t="s">
        <v>35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3"/>
      <c r="X88" s="3"/>
      <c r="Y88" s="3"/>
      <c r="Z88" s="3"/>
    </row>
    <row r="89" spans="2:26">
      <c r="B89" s="3"/>
      <c r="C89" s="3"/>
      <c r="D89" s="3"/>
      <c r="E89" s="9" t="s">
        <v>37</v>
      </c>
      <c r="F89" s="7" t="s">
        <v>38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</row>
    <row r="90" spans="2:26">
      <c r="B90" s="3"/>
      <c r="C90" s="3"/>
      <c r="D90" s="3"/>
      <c r="E90" s="10"/>
      <c r="F90" s="7" t="s">
        <v>42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</row>
    <row r="91" spans="2:26">
      <c r="B91" s="3"/>
      <c r="C91" s="3"/>
      <c r="D91" s="3"/>
      <c r="E91" s="10"/>
      <c r="F91" s="7" t="s">
        <v>60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</row>
    <row r="92" spans="2:26">
      <c r="B92" s="3"/>
      <c r="C92" s="3"/>
      <c r="D92" s="3"/>
      <c r="E92" s="10"/>
      <c r="F92" s="7" t="s">
        <v>77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</row>
    <row r="93" spans="2:26">
      <c r="B93" s="3"/>
      <c r="C93" s="3"/>
      <c r="D93" s="3"/>
      <c r="E93" s="10"/>
      <c r="F93" s="7" t="s">
        <v>79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</row>
    <row r="94" spans="2:26">
      <c r="B94" s="3"/>
      <c r="C94" s="3"/>
      <c r="D94" s="3"/>
      <c r="E94" s="11"/>
      <c r="F94" s="7" t="s">
        <v>82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</row>
    <row r="95" spans="2:26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>
      <c r="B96" s="3"/>
      <c r="C96" s="3"/>
      <c r="D96" s="3"/>
      <c r="E96" s="4" t="s">
        <v>1</v>
      </c>
      <c r="F96" s="5" t="s">
        <v>2</v>
      </c>
      <c r="G96" s="5" t="s">
        <v>103</v>
      </c>
      <c r="H96" s="5"/>
      <c r="I96" s="5"/>
      <c r="J96" s="5"/>
      <c r="K96" s="5" t="s">
        <v>104</v>
      </c>
      <c r="L96" s="5"/>
      <c r="M96" s="5"/>
      <c r="N96" s="5"/>
      <c r="O96" s="5" t="s">
        <v>105</v>
      </c>
      <c r="P96" s="5"/>
      <c r="Q96" s="5"/>
      <c r="R96" s="5"/>
      <c r="S96" s="5" t="s">
        <v>106</v>
      </c>
      <c r="T96" s="5"/>
      <c r="U96" s="5"/>
      <c r="V96" s="5"/>
      <c r="W96" s="3"/>
      <c r="X96" s="3"/>
      <c r="Y96" s="3"/>
      <c r="Z96" s="3"/>
    </row>
    <row r="97" spans="2:26">
      <c r="B97" s="3"/>
      <c r="C97" s="3"/>
      <c r="D97" s="3"/>
      <c r="E97" s="6"/>
      <c r="F97" s="5"/>
      <c r="G97" s="5" t="s">
        <v>9</v>
      </c>
      <c r="H97" s="5" t="s">
        <v>10</v>
      </c>
      <c r="I97" s="5" t="s">
        <v>11</v>
      </c>
      <c r="J97" s="5" t="s">
        <v>12</v>
      </c>
      <c r="K97" s="5" t="s">
        <v>9</v>
      </c>
      <c r="L97" s="5" t="s">
        <v>10</v>
      </c>
      <c r="M97" s="5" t="s">
        <v>11</v>
      </c>
      <c r="N97" s="5" t="s">
        <v>12</v>
      </c>
      <c r="O97" s="5" t="s">
        <v>9</v>
      </c>
      <c r="P97" s="5" t="s">
        <v>10</v>
      </c>
      <c r="Q97" s="5" t="s">
        <v>11</v>
      </c>
      <c r="R97" s="5" t="s">
        <v>12</v>
      </c>
      <c r="S97" s="5" t="s">
        <v>9</v>
      </c>
      <c r="T97" s="5" t="s">
        <v>10</v>
      </c>
      <c r="U97" s="5" t="s">
        <v>11</v>
      </c>
      <c r="V97" s="5" t="s">
        <v>12</v>
      </c>
      <c r="W97" s="3"/>
      <c r="X97" s="3"/>
      <c r="Y97" s="3"/>
      <c r="Z97" s="3"/>
    </row>
    <row r="98" spans="2:26">
      <c r="B98" s="3"/>
      <c r="C98" s="3"/>
      <c r="D98" s="3"/>
      <c r="E98" s="7" t="s">
        <v>14</v>
      </c>
      <c r="F98" s="7" t="s">
        <v>16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</row>
    <row r="99" spans="2:26">
      <c r="B99" s="3"/>
      <c r="C99" s="3"/>
      <c r="D99" s="3"/>
      <c r="E99" s="7" t="s">
        <v>23</v>
      </c>
      <c r="F99" s="7" t="s">
        <v>24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</row>
    <row r="100" spans="2:26">
      <c r="B100" s="3"/>
      <c r="C100" s="3"/>
      <c r="D100" s="3"/>
      <c r="E100" s="7"/>
      <c r="F100" s="7" t="s">
        <v>26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</row>
    <row r="101" spans="2:26">
      <c r="B101" s="3"/>
      <c r="C101" s="3"/>
      <c r="D101" s="3"/>
      <c r="E101" s="7"/>
      <c r="F101" s="7" t="s">
        <v>28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</row>
    <row r="102" spans="2:26">
      <c r="B102" s="3"/>
      <c r="C102" s="3"/>
      <c r="D102" s="3"/>
      <c r="E102" s="7"/>
      <c r="F102" s="7" t="s">
        <v>31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</row>
    <row r="103" spans="2:26">
      <c r="B103" s="3"/>
      <c r="C103" s="3"/>
      <c r="D103" s="3"/>
      <c r="E103" s="7"/>
      <c r="F103" s="7" t="s">
        <v>30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</row>
    <row r="104" spans="2:26">
      <c r="B104" s="3"/>
      <c r="C104" s="3"/>
      <c r="D104" s="3"/>
      <c r="E104" s="7"/>
      <c r="F104" s="7" t="s">
        <v>33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</row>
    <row r="105" spans="2:26">
      <c r="B105" s="3"/>
      <c r="C105" s="3"/>
      <c r="D105" s="3"/>
      <c r="E105" s="7"/>
      <c r="F105" s="7" t="s">
        <v>35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</row>
    <row r="106" spans="2:26">
      <c r="B106" s="3"/>
      <c r="C106" s="3"/>
      <c r="D106" s="3"/>
      <c r="E106" s="9" t="s">
        <v>37</v>
      </c>
      <c r="F106" s="7" t="s">
        <v>38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</row>
    <row r="107" spans="2:26">
      <c r="B107" s="3"/>
      <c r="C107" s="3"/>
      <c r="D107" s="3"/>
      <c r="E107" s="10"/>
      <c r="F107" s="7" t="s">
        <v>42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3"/>
      <c r="X107" s="3"/>
      <c r="Y107" s="3"/>
      <c r="Z107" s="3"/>
    </row>
    <row r="108" spans="2:26">
      <c r="B108" s="3"/>
      <c r="C108" s="3"/>
      <c r="D108" s="3"/>
      <c r="E108" s="10"/>
      <c r="F108" s="7" t="s">
        <v>60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3"/>
      <c r="X108" s="3"/>
      <c r="Y108" s="3"/>
      <c r="Z108" s="3"/>
    </row>
    <row r="109" spans="2:26">
      <c r="B109" s="3"/>
      <c r="C109" s="3"/>
      <c r="D109" s="3"/>
      <c r="E109" s="10"/>
      <c r="F109" s="7" t="s">
        <v>77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3"/>
      <c r="X109" s="3"/>
      <c r="Y109" s="3"/>
      <c r="Z109" s="3"/>
    </row>
    <row r="110" spans="2:26">
      <c r="B110" s="3"/>
      <c r="C110" s="3"/>
      <c r="D110" s="3"/>
      <c r="E110" s="10"/>
      <c r="F110" s="7" t="s">
        <v>79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3"/>
      <c r="X110" s="3"/>
      <c r="Y110" s="3"/>
      <c r="Z110" s="3"/>
    </row>
    <row r="111" spans="2:26">
      <c r="B111" s="3"/>
      <c r="C111" s="3"/>
      <c r="D111" s="3"/>
      <c r="E111" s="11"/>
      <c r="F111" s="7" t="s">
        <v>82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3"/>
      <c r="X111" s="3"/>
      <c r="Y111" s="3"/>
      <c r="Z111" s="3"/>
    </row>
    <row r="112" spans="2:26">
      <c r="B112" s="3"/>
      <c r="C112" s="3"/>
      <c r="D112" s="3"/>
      <c r="E112" s="3"/>
      <c r="S112" s="3"/>
      <c r="T112" s="3"/>
      <c r="U112" s="3"/>
      <c r="V112" s="3"/>
      <c r="W112" s="3"/>
      <c r="X112" s="3"/>
      <c r="Y112" s="3"/>
      <c r="Z112" s="3"/>
    </row>
    <row r="113" spans="2:26">
      <c r="B113" s="3"/>
      <c r="C113" s="3"/>
      <c r="D113" s="3"/>
      <c r="E113" s="3"/>
      <c r="S113" s="3"/>
      <c r="T113" s="3"/>
      <c r="U113" s="3"/>
      <c r="V113" s="3"/>
      <c r="W113" s="3"/>
      <c r="X113" s="3"/>
      <c r="Y113" s="3"/>
      <c r="Z113" s="3"/>
    </row>
    <row r="114" spans="2:26">
      <c r="B114" s="3"/>
      <c r="C114" s="3"/>
      <c r="D114" s="3"/>
      <c r="E114" s="3"/>
      <c r="S114" s="3"/>
      <c r="T114" s="3"/>
      <c r="U114" s="3"/>
      <c r="V114" s="3"/>
      <c r="W114" s="3"/>
      <c r="X114" s="3"/>
      <c r="Y114" s="3"/>
      <c r="Z114" s="3"/>
    </row>
    <row r="115" spans="2:26">
      <c r="B115" s="3"/>
      <c r="C115" s="3"/>
      <c r="D115" s="3"/>
      <c r="F115" s="14" t="s">
        <v>107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>
      <c r="B116" s="3"/>
      <c r="C116" s="3"/>
      <c r="D116" s="3"/>
      <c r="F116" s="7" t="s">
        <v>2</v>
      </c>
      <c r="G116" s="5" t="s">
        <v>3</v>
      </c>
      <c r="H116" s="5"/>
      <c r="I116" s="5"/>
      <c r="J116" s="5"/>
      <c r="K116" s="5" t="s">
        <v>99</v>
      </c>
      <c r="L116" s="5"/>
      <c r="M116" s="5"/>
      <c r="N116" s="5"/>
      <c r="O116" s="5" t="s">
        <v>99</v>
      </c>
      <c r="P116" s="5"/>
      <c r="Q116" s="5"/>
      <c r="R116" s="5"/>
      <c r="S116" s="3"/>
      <c r="T116" s="3"/>
      <c r="U116" s="3"/>
      <c r="V116" s="3"/>
      <c r="W116" s="3"/>
      <c r="X116" s="3"/>
      <c r="Y116" s="3"/>
      <c r="Z116" s="3"/>
    </row>
    <row r="117" spans="2:26">
      <c r="B117" s="3"/>
      <c r="C117" s="3"/>
      <c r="D117" s="3"/>
      <c r="F117" s="7" t="s">
        <v>108</v>
      </c>
      <c r="G117" s="5" t="s">
        <v>9</v>
      </c>
      <c r="H117" s="5" t="s">
        <v>10</v>
      </c>
      <c r="I117" s="5" t="s">
        <v>11</v>
      </c>
      <c r="J117" s="5" t="s">
        <v>12</v>
      </c>
      <c r="K117" s="5" t="s">
        <v>9</v>
      </c>
      <c r="L117" s="5" t="s">
        <v>10</v>
      </c>
      <c r="M117" s="5" t="s">
        <v>11</v>
      </c>
      <c r="N117" s="5" t="s">
        <v>12</v>
      </c>
      <c r="O117" s="5" t="s">
        <v>9</v>
      </c>
      <c r="P117" s="5" t="s">
        <v>10</v>
      </c>
      <c r="Q117" s="5" t="s">
        <v>11</v>
      </c>
      <c r="R117" s="5" t="s">
        <v>12</v>
      </c>
      <c r="S117" s="3"/>
      <c r="T117" s="3"/>
      <c r="U117" s="3"/>
      <c r="V117" s="3"/>
      <c r="W117" s="3"/>
      <c r="X117" s="3"/>
      <c r="Y117" s="3"/>
      <c r="Z117" s="3"/>
    </row>
    <row r="118" spans="2:26">
      <c r="B118" s="3"/>
      <c r="C118" s="3"/>
      <c r="D118" s="3"/>
      <c r="F118" s="7" t="s">
        <v>109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3"/>
      <c r="T118" s="3"/>
      <c r="U118" s="3"/>
      <c r="V118" s="3"/>
      <c r="W118" s="3"/>
      <c r="X118" s="3"/>
      <c r="Y118" s="3"/>
      <c r="Z118" s="3"/>
    </row>
    <row r="119" spans="2:26">
      <c r="B119" s="3"/>
      <c r="C119" s="3"/>
      <c r="D119" s="3"/>
      <c r="F119" s="7" t="s">
        <v>110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3"/>
      <c r="T119" s="3"/>
      <c r="U119" s="3"/>
      <c r="V119" s="3"/>
      <c r="W119" s="3"/>
      <c r="X119" s="3"/>
      <c r="Y119" s="3"/>
      <c r="Z119" s="3"/>
    </row>
    <row r="120" spans="2:26">
      <c r="B120" s="3"/>
      <c r="C120" s="3"/>
      <c r="D120" s="3"/>
      <c r="F120" s="7" t="s">
        <v>111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W120" s="3"/>
      <c r="X120" s="3"/>
      <c r="Y120" s="3"/>
      <c r="Z120" s="3"/>
    </row>
    <row r="121" spans="2:26">
      <c r="B121" s="3"/>
      <c r="C121" s="3"/>
      <c r="D121" s="3"/>
      <c r="F121" s="7" t="s">
        <v>112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W121" s="3"/>
      <c r="X121" s="3"/>
      <c r="Y121" s="3"/>
      <c r="Z121" s="3"/>
    </row>
    <row r="122" spans="2:26">
      <c r="B122" s="3"/>
      <c r="C122" s="3"/>
      <c r="D122" s="3"/>
      <c r="F122" s="7" t="s">
        <v>113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W122" s="3"/>
      <c r="X122" s="3"/>
      <c r="Y122" s="3"/>
      <c r="Z122" s="3"/>
    </row>
    <row r="123" spans="2:26">
      <c r="B123" s="3"/>
      <c r="C123" s="3"/>
      <c r="D123" s="3"/>
      <c r="F123" s="11" t="s">
        <v>114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W123" s="3"/>
      <c r="X123" s="3"/>
      <c r="Y123" s="3"/>
      <c r="Z123" s="3"/>
    </row>
    <row r="124" spans="2:26">
      <c r="B124" s="3"/>
      <c r="C124" s="3"/>
      <c r="D124" s="3"/>
      <c r="F124" s="7" t="s">
        <v>115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W124" s="3"/>
      <c r="X124" s="3"/>
      <c r="Y124" s="3"/>
      <c r="Z124" s="3"/>
    </row>
    <row r="125" spans="2:26">
      <c r="B125" s="3"/>
      <c r="C125" s="3"/>
      <c r="D125" s="3"/>
      <c r="F125" s="7" t="s">
        <v>116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W125" s="3"/>
      <c r="X125" s="3"/>
      <c r="Y125" s="3"/>
      <c r="Z125" s="3"/>
    </row>
    <row r="126" spans="2:26">
      <c r="B126" s="3"/>
      <c r="C126" s="3"/>
      <c r="D126" s="3"/>
      <c r="F126" s="7" t="s">
        <v>117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W126" s="3"/>
      <c r="X126" s="3"/>
      <c r="Y126" s="3"/>
      <c r="Z126" s="3"/>
    </row>
    <row r="127" spans="2:26">
      <c r="B127" s="3"/>
      <c r="C127" s="3"/>
      <c r="D127" s="3"/>
      <c r="F127" s="7" t="s">
        <v>118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W127" s="3"/>
      <c r="X127" s="3"/>
      <c r="Y127" s="3"/>
      <c r="Z127" s="3"/>
    </row>
    <row r="128" spans="2:26">
      <c r="B128" s="3"/>
      <c r="C128" s="3"/>
      <c r="D128" s="3"/>
      <c r="F128" s="7" t="s">
        <v>119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W128" s="3"/>
      <c r="X128" s="3"/>
      <c r="Y128" s="3"/>
      <c r="Z128" s="3"/>
    </row>
    <row r="129" spans="2:26">
      <c r="B129" s="3"/>
      <c r="C129" s="3"/>
      <c r="D129" s="3"/>
      <c r="F129" s="7" t="s">
        <v>120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W129" s="3"/>
      <c r="X129" s="3"/>
      <c r="Y129" s="3"/>
      <c r="Z129" s="3"/>
    </row>
    <row r="130" spans="2:26">
      <c r="B130" s="3"/>
      <c r="C130" s="3"/>
      <c r="D130" s="3"/>
      <c r="F130" s="7" t="s">
        <v>121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W130" s="3"/>
      <c r="X130" s="3"/>
      <c r="Y130" s="3"/>
      <c r="Z130" s="3"/>
    </row>
    <row r="131" spans="2:26">
      <c r="B131" s="3"/>
      <c r="C131" s="3"/>
      <c r="D131" s="3"/>
      <c r="F131" s="7" t="s">
        <v>122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W131" s="3"/>
      <c r="X131" s="3"/>
      <c r="Y131" s="3"/>
      <c r="Z131" s="3"/>
    </row>
    <row r="132" spans="2:26">
      <c r="B132" s="3"/>
      <c r="C132" s="3"/>
      <c r="D132" s="3"/>
      <c r="F132" s="7" t="s">
        <v>123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W132" s="3"/>
      <c r="X132" s="3"/>
      <c r="Y132" s="3"/>
      <c r="Z132" s="3"/>
    </row>
    <row r="133" spans="2:26">
      <c r="B133" s="3"/>
      <c r="C133" s="3"/>
      <c r="D133" s="3"/>
      <c r="F133" s="14" t="s">
        <v>124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W133" s="3"/>
      <c r="X133" s="3"/>
      <c r="Y133" s="3"/>
      <c r="Z133" s="3"/>
    </row>
    <row r="134" spans="2:26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W134" s="3"/>
      <c r="X134" s="3"/>
      <c r="Y134" s="3"/>
      <c r="Z134" s="3"/>
    </row>
    <row r="135" spans="2:26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W135" s="3"/>
      <c r="X135" s="3"/>
      <c r="Y135" s="3"/>
      <c r="Z135" s="3"/>
    </row>
    <row r="136" spans="2:2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W136" s="3"/>
      <c r="X136" s="3"/>
      <c r="Y136" s="3"/>
      <c r="Z136" s="3"/>
    </row>
    <row r="137" spans="2:26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W137" s="3"/>
      <c r="X137" s="3"/>
      <c r="Y137" s="3"/>
      <c r="Z137" s="3"/>
    </row>
    <row r="138" spans="2:26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W138" s="3"/>
      <c r="X138" s="3"/>
      <c r="Y138" s="3"/>
      <c r="Z138" s="3"/>
    </row>
    <row r="139" spans="2:26">
      <c r="B139" s="3"/>
      <c r="C139" s="3"/>
      <c r="D139" s="3"/>
      <c r="W139" s="3"/>
      <c r="X139" s="3"/>
      <c r="Y139" s="3"/>
      <c r="Z139" s="3"/>
    </row>
    <row r="140" spans="2:26">
      <c r="B140" s="3"/>
      <c r="C140" s="3"/>
      <c r="D140" s="3"/>
      <c r="W140" s="3"/>
      <c r="X140" s="3"/>
      <c r="Y140" s="3"/>
      <c r="Z140" s="3"/>
    </row>
    <row r="141" spans="2:26">
      <c r="B141" s="3"/>
      <c r="C141" s="3"/>
      <c r="D141" s="3"/>
      <c r="W141" s="3"/>
      <c r="X141" s="3"/>
      <c r="Y141" s="3"/>
      <c r="Z141" s="3"/>
    </row>
    <row r="142" spans="2:26">
      <c r="B142" s="3"/>
      <c r="C142" s="3"/>
      <c r="D142" s="3"/>
      <c r="W142" s="3"/>
      <c r="X142" s="3"/>
      <c r="Y142" s="3"/>
      <c r="Z142" s="3"/>
    </row>
    <row r="143" spans="2:26">
      <c r="B143" s="3"/>
      <c r="C143" s="3"/>
      <c r="D143" s="3"/>
      <c r="W143" s="3"/>
      <c r="X143" s="3"/>
      <c r="Y143" s="3"/>
      <c r="Z143" s="3"/>
    </row>
    <row r="144" spans="2:26">
      <c r="B144" s="3"/>
      <c r="C144" s="3"/>
      <c r="D144" s="3"/>
      <c r="W144" s="3"/>
      <c r="X144" s="3"/>
      <c r="Y144" s="3"/>
      <c r="Z144" s="3"/>
    </row>
    <row r="145" spans="2:26">
      <c r="B145" s="3"/>
      <c r="C145" s="3"/>
      <c r="D145" s="3"/>
      <c r="W145" s="3"/>
      <c r="X145" s="3"/>
      <c r="Y145" s="3"/>
      <c r="Z145" s="3"/>
    </row>
    <row r="146" spans="2:26">
      <c r="B146" s="3"/>
      <c r="C146" s="3"/>
      <c r="D146" s="3"/>
      <c r="W146" s="3"/>
      <c r="X146" s="3"/>
      <c r="Y146" s="3"/>
      <c r="Z146" s="3"/>
    </row>
    <row r="147" spans="2:26">
      <c r="B147" s="3"/>
      <c r="C147" s="3"/>
      <c r="D147" s="3"/>
      <c r="W147" s="3"/>
      <c r="X147" s="3"/>
      <c r="Y147" s="3"/>
      <c r="Z147" s="3"/>
    </row>
    <row r="148" spans="2:26">
      <c r="B148" s="3"/>
      <c r="C148" s="3"/>
      <c r="D148" s="3"/>
      <c r="W148" s="3"/>
      <c r="X148" s="3"/>
      <c r="Y148" s="3"/>
      <c r="Z148" s="3"/>
    </row>
    <row r="149" spans="2:26">
      <c r="B149" s="3"/>
      <c r="C149" s="3"/>
      <c r="D149" s="3"/>
      <c r="W149" s="3"/>
      <c r="X149" s="3"/>
      <c r="Y149" s="3"/>
      <c r="Z149" s="3"/>
    </row>
    <row r="150" spans="2:26">
      <c r="B150" s="3"/>
      <c r="C150" s="3"/>
      <c r="D150" s="3"/>
      <c r="W150" s="3"/>
      <c r="X150" s="3"/>
      <c r="Y150" s="3"/>
      <c r="Z150" s="3"/>
    </row>
    <row r="151" spans="2:26">
      <c r="B151" s="3"/>
      <c r="C151" s="3"/>
      <c r="D151" s="3"/>
      <c r="W151" s="3"/>
      <c r="X151" s="3"/>
      <c r="Y151" s="3"/>
      <c r="Z151" s="3"/>
    </row>
    <row r="152" spans="2:26">
      <c r="B152" s="3"/>
      <c r="C152" s="3"/>
      <c r="D152" s="3"/>
      <c r="W152" s="3"/>
      <c r="X152" s="3"/>
      <c r="Y152" s="3"/>
      <c r="Z152" s="3"/>
    </row>
    <row r="153" spans="2:26">
      <c r="B153" s="3"/>
      <c r="C153" s="3"/>
      <c r="D153" s="3"/>
      <c r="W153" s="3"/>
      <c r="X153" s="3"/>
      <c r="Y153" s="3"/>
      <c r="Z153" s="3"/>
    </row>
    <row r="154" spans="2:26">
      <c r="B154" s="3"/>
      <c r="C154" s="3"/>
      <c r="D154" s="3"/>
      <c r="W154" s="3"/>
      <c r="X154" s="3"/>
      <c r="Y154" s="3"/>
      <c r="Z154" s="3"/>
    </row>
    <row r="155" spans="2:26">
      <c r="B155" s="3"/>
      <c r="C155" s="3"/>
      <c r="D155" s="3"/>
      <c r="W155" s="3"/>
      <c r="X155" s="3"/>
      <c r="Y155" s="3"/>
      <c r="Z155" s="3"/>
    </row>
    <row r="156" spans="2:26">
      <c r="B156" s="3"/>
      <c r="C156" s="3"/>
      <c r="D156" s="3"/>
      <c r="W156" s="3"/>
      <c r="X156" s="3"/>
      <c r="Y156" s="3"/>
      <c r="Z156" s="3"/>
    </row>
    <row r="157" spans="2:26">
      <c r="B157" s="3"/>
      <c r="C157" s="3"/>
      <c r="D157" s="3"/>
      <c r="W157" s="3"/>
      <c r="X157" s="3"/>
      <c r="Y157" s="3"/>
      <c r="Z157" s="3"/>
    </row>
    <row r="158" spans="2:26">
      <c r="B158" s="3"/>
      <c r="C158" s="3"/>
      <c r="D158" s="3"/>
      <c r="W158" s="3"/>
      <c r="X158" s="3"/>
      <c r="Y158" s="3"/>
      <c r="Z158" s="3"/>
    </row>
    <row r="159" spans="2:26">
      <c r="B159" s="3"/>
      <c r="C159" s="3"/>
      <c r="D159" s="3"/>
      <c r="W159" s="3"/>
      <c r="X159" s="3"/>
      <c r="Y159" s="3"/>
      <c r="Z159" s="3"/>
    </row>
    <row r="160" spans="2:26">
      <c r="B160" s="3"/>
      <c r="C160" s="3"/>
      <c r="D160" s="3"/>
      <c r="W160" s="3"/>
      <c r="X160" s="3"/>
      <c r="Y160" s="3"/>
      <c r="Z160" s="3"/>
    </row>
    <row r="161" spans="2:26">
      <c r="B161" s="3"/>
      <c r="C161" s="3"/>
      <c r="D161" s="3"/>
      <c r="W161" s="3"/>
      <c r="X161" s="3"/>
      <c r="Y161" s="3"/>
      <c r="Z161" s="3"/>
    </row>
    <row r="162" spans="2:26">
      <c r="B162" s="3"/>
      <c r="C162" s="3"/>
      <c r="D162" s="3"/>
      <c r="W162" s="3"/>
      <c r="X162" s="3"/>
      <c r="Y162" s="3"/>
      <c r="Z162" s="3"/>
    </row>
    <row r="163" spans="2:26">
      <c r="B163" s="3"/>
      <c r="C163" s="3"/>
      <c r="D163" s="3"/>
      <c r="W163" s="3"/>
      <c r="X163" s="3"/>
      <c r="Y163" s="3"/>
      <c r="Z163" s="3"/>
    </row>
    <row r="164" spans="2:26">
      <c r="B164" s="3"/>
      <c r="C164" s="3"/>
      <c r="D164" s="3"/>
      <c r="W164" s="3"/>
      <c r="X164" s="3"/>
      <c r="Y164" s="3"/>
      <c r="Z164" s="3"/>
    </row>
    <row r="165" spans="2:26">
      <c r="B165" s="3"/>
      <c r="C165" s="3"/>
      <c r="D165" s="3"/>
      <c r="W165" s="3"/>
      <c r="X165" s="3"/>
      <c r="Y165" s="3"/>
      <c r="Z165" s="3"/>
    </row>
    <row r="166" spans="2:26">
      <c r="B166" s="3"/>
      <c r="C166" s="3"/>
      <c r="D166" s="3"/>
      <c r="W166" s="3"/>
      <c r="X166" s="3"/>
      <c r="Y166" s="3"/>
      <c r="Z166" s="3"/>
    </row>
    <row r="167" spans="2:26">
      <c r="B167" s="3"/>
      <c r="C167" s="3"/>
      <c r="D167" s="3"/>
      <c r="W167" s="3"/>
      <c r="X167" s="3"/>
      <c r="Y167" s="3"/>
      <c r="Z167" s="3"/>
    </row>
    <row r="168" spans="2:26">
      <c r="B168" s="3"/>
      <c r="C168" s="3"/>
      <c r="D168" s="3"/>
      <c r="W168" s="3"/>
      <c r="X168" s="3"/>
      <c r="Y168" s="3"/>
      <c r="Z168" s="3"/>
    </row>
    <row r="169" spans="2:26">
      <c r="B169" s="3"/>
      <c r="C169" s="3"/>
      <c r="Y169" s="3"/>
      <c r="Z169" s="3"/>
    </row>
    <row r="170" spans="2:26">
      <c r="B170" s="3"/>
      <c r="C170" s="3"/>
      <c r="Y170" s="3"/>
      <c r="Z170" s="3"/>
    </row>
    <row r="171" spans="2:26">
      <c r="B171" s="3"/>
      <c r="C171" s="3"/>
      <c r="Y171" s="3"/>
      <c r="Z171" s="3"/>
    </row>
    <row r="172" spans="2:26">
      <c r="B172" s="3"/>
      <c r="C172" s="3"/>
      <c r="Y172" s="3"/>
      <c r="Z172" s="3"/>
    </row>
    <row r="173" spans="2:26">
      <c r="B173" s="3"/>
      <c r="C173" s="3"/>
      <c r="Y173" s="3"/>
      <c r="Z173" s="3"/>
    </row>
    <row r="174" spans="2:26">
      <c r="B174" s="3"/>
      <c r="C174" s="3"/>
      <c r="Y174" s="3"/>
      <c r="Z174" s="3"/>
    </row>
    <row r="175" spans="2:26">
      <c r="B175" s="3"/>
      <c r="C175" s="3"/>
      <c r="Y175" s="3"/>
      <c r="Z175" s="3"/>
    </row>
    <row r="176" spans="2:26">
      <c r="B176" s="3"/>
      <c r="C176" s="3"/>
      <c r="Y176" s="3"/>
      <c r="Z176" s="3"/>
    </row>
    <row r="177" spans="2:26">
      <c r="B177" s="3"/>
      <c r="C177" s="3"/>
      <c r="Y177" s="3"/>
      <c r="Z177" s="3"/>
    </row>
    <row r="178" spans="2:26">
      <c r="B178" s="3"/>
      <c r="C178" s="3"/>
      <c r="Y178" s="3"/>
      <c r="Z178" s="3"/>
    </row>
    <row r="179" spans="2:26">
      <c r="B179" s="3"/>
      <c r="Y179" s="3"/>
      <c r="Z179" s="3"/>
    </row>
    <row r="180" spans="2:26">
      <c r="B180" s="3"/>
      <c r="Y180" s="3"/>
      <c r="Z180" s="3"/>
    </row>
    <row r="181" spans="2:26">
      <c r="B181" s="3"/>
      <c r="Y181" s="3"/>
      <c r="Z181" s="3"/>
    </row>
    <row r="182" spans="2:26">
      <c r="B182" s="3"/>
      <c r="Y182" s="3"/>
      <c r="Z182" s="3"/>
    </row>
    <row r="183" spans="2:26">
      <c r="B183" s="3"/>
      <c r="Y183" s="3"/>
      <c r="Z183" s="3"/>
    </row>
    <row r="184" spans="2:26">
      <c r="B184" s="3"/>
      <c r="Y184" s="3"/>
      <c r="Z184" s="3"/>
    </row>
  </sheetData>
  <mergeCells count="56">
    <mergeCell ref="F5:P5"/>
    <mergeCell ref="G6:J6"/>
    <mergeCell ref="K6:N6"/>
    <mergeCell ref="O6:R6"/>
    <mergeCell ref="S6:V6"/>
    <mergeCell ref="G23:J23"/>
    <mergeCell ref="K23:N23"/>
    <mergeCell ref="O23:R23"/>
    <mergeCell ref="S23:V23"/>
    <mergeCell ref="G40:J40"/>
    <mergeCell ref="K40:N40"/>
    <mergeCell ref="O40:R40"/>
    <mergeCell ref="S40:V40"/>
    <mergeCell ref="F61:S61"/>
    <mergeCell ref="G62:J62"/>
    <mergeCell ref="K62:N62"/>
    <mergeCell ref="O62:R62"/>
    <mergeCell ref="S62:V62"/>
    <mergeCell ref="G79:J79"/>
    <mergeCell ref="K79:N79"/>
    <mergeCell ref="O79:R79"/>
    <mergeCell ref="S79:V79"/>
    <mergeCell ref="G96:J96"/>
    <mergeCell ref="K96:N96"/>
    <mergeCell ref="O96:R96"/>
    <mergeCell ref="S96:V96"/>
    <mergeCell ref="G116:J116"/>
    <mergeCell ref="K116:N116"/>
    <mergeCell ref="O116:R116"/>
    <mergeCell ref="F133:R133"/>
    <mergeCell ref="E6:E7"/>
    <mergeCell ref="E9:E15"/>
    <mergeCell ref="E16:E21"/>
    <mergeCell ref="E23:E24"/>
    <mergeCell ref="E26:E32"/>
    <mergeCell ref="E33:E38"/>
    <mergeCell ref="E40:E41"/>
    <mergeCell ref="E43:E49"/>
    <mergeCell ref="E50:E55"/>
    <mergeCell ref="E62:E63"/>
    <mergeCell ref="E65:E71"/>
    <mergeCell ref="E72:E77"/>
    <mergeCell ref="E79:E80"/>
    <mergeCell ref="E82:E88"/>
    <mergeCell ref="E89:E94"/>
    <mergeCell ref="E96:E97"/>
    <mergeCell ref="E99:E105"/>
    <mergeCell ref="E106:E111"/>
    <mergeCell ref="F6:F7"/>
    <mergeCell ref="F23:F24"/>
    <mergeCell ref="F40:F41"/>
    <mergeCell ref="F62:F63"/>
    <mergeCell ref="F79:F80"/>
    <mergeCell ref="F96:F97"/>
    <mergeCell ref="AE8:AE14"/>
    <mergeCell ref="AE15:AE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JackDu</dc:creator>
  <cp:lastModifiedBy>Jack Du</cp:lastModifiedBy>
  <dcterms:created xsi:type="dcterms:W3CDTF">2023-05-12T11:15:00Z</dcterms:created>
  <dcterms:modified xsi:type="dcterms:W3CDTF">2025-03-26T17:57:11Z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808072E6A51344AEAAC9E3FF783A6447_13</vt:lpwstr>
  </property>
</Properties>
</file>